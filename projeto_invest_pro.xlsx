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tro V\Downloads\"/>
    </mc:Choice>
  </mc:AlternateContent>
  <xr:revisionPtr revIDLastSave="0" documentId="13_ncr:1_{24276810-FC21-409B-B116-8C9140EDE5F2}" xr6:coauthVersionLast="47" xr6:coauthVersionMax="47" xr10:uidLastSave="{00000000-0000-0000-0000-000000000000}"/>
  <bookViews>
    <workbookView xWindow="-108" yWindow="-108" windowWidth="23256" windowHeight="12456" tabRatio="608" xr2:uid="{D63472A4-8300-4934-9C87-0EC792DCF89D}"/>
  </bookViews>
  <sheets>
    <sheet name="APP_INVEST" sheetId="3" r:id="rId1"/>
    <sheet name="AUXILIAR" sheetId="4" r:id="rId2"/>
  </sheets>
  <definedNames>
    <definedName name="Data_EixoX">OFFSET(AUXILIAR!$G$2,0,0,APP_INVEST!$D$42*12+1,1)</definedName>
    <definedName name="inflação_mensal">APP_INVEST!$D$24</definedName>
    <definedName name="Linha_Nominal_RE">OFFSET(AUXILIAR!$H$2,0,0,APP_INVEST!$D$42*12+1,1)</definedName>
    <definedName name="Linha_Nominal_SR">OFFSET(AUXILIAR!$J$2,0,0,APP_INVEST!$D$42*12+1,1)</definedName>
    <definedName name="Linha_Real_RE">OFFSET(AUXILIAR!$I$2,0,0,APP_INVEST!$D$42*12+1,1)</definedName>
    <definedName name="Linha_Real_SR">OFFSET(AUXILIAR!$K$2,0,0,APP_INVEST!$D$42*12+1,1)</definedName>
    <definedName name="Salario">APP_INVEST!$D$15</definedName>
    <definedName name="taxa_nominal">APP_INVEST!$D$23</definedName>
    <definedName name="taxa_real">APP_INVEST!$D$25</definedName>
    <definedName name="Taxa_rendimento">APP_INVEST!#REF!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4" i="3" l="1"/>
  <c r="C65" i="3"/>
  <c r="C66" i="3"/>
  <c r="C67" i="3"/>
  <c r="C68" i="3"/>
  <c r="C63" i="3"/>
  <c r="G27" i="4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G102" i="4" s="1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G121" i="4" s="1"/>
  <c r="G122" i="4" s="1"/>
  <c r="G123" i="4" s="1"/>
  <c r="G124" i="4" s="1"/>
  <c r="G125" i="4" s="1"/>
  <c r="G126" i="4" s="1"/>
  <c r="G127" i="4" s="1"/>
  <c r="G128" i="4" s="1"/>
  <c r="G129" i="4" s="1"/>
  <c r="G130" i="4" s="1"/>
  <c r="G131" i="4" s="1"/>
  <c r="G132" i="4" s="1"/>
  <c r="G133" i="4" s="1"/>
  <c r="G134" i="4" s="1"/>
  <c r="G135" i="4" s="1"/>
  <c r="G136" i="4" s="1"/>
  <c r="G137" i="4" s="1"/>
  <c r="G138" i="4" s="1"/>
  <c r="G139" i="4" s="1"/>
  <c r="G140" i="4" s="1"/>
  <c r="G141" i="4" s="1"/>
  <c r="G142" i="4" s="1"/>
  <c r="G143" i="4" s="1"/>
  <c r="G144" i="4" s="1"/>
  <c r="G145" i="4" s="1"/>
  <c r="G146" i="4" s="1"/>
  <c r="G147" i="4" s="1"/>
  <c r="G148" i="4" s="1"/>
  <c r="G149" i="4" s="1"/>
  <c r="G150" i="4" s="1"/>
  <c r="G151" i="4" s="1"/>
  <c r="G152" i="4" s="1"/>
  <c r="G153" i="4" s="1"/>
  <c r="G154" i="4" s="1"/>
  <c r="G155" i="4" s="1"/>
  <c r="G156" i="4" s="1"/>
  <c r="G157" i="4" s="1"/>
  <c r="G158" i="4" s="1"/>
  <c r="G159" i="4" s="1"/>
  <c r="G160" i="4" s="1"/>
  <c r="G161" i="4" s="1"/>
  <c r="G162" i="4" s="1"/>
  <c r="G163" i="4" s="1"/>
  <c r="G164" i="4" s="1"/>
  <c r="G165" i="4" s="1"/>
  <c r="G166" i="4" s="1"/>
  <c r="G167" i="4" s="1"/>
  <c r="G168" i="4" s="1"/>
  <c r="G169" i="4" s="1"/>
  <c r="G170" i="4" s="1"/>
  <c r="G171" i="4" s="1"/>
  <c r="G172" i="4" s="1"/>
  <c r="G173" i="4" s="1"/>
  <c r="G174" i="4" s="1"/>
  <c r="G175" i="4" s="1"/>
  <c r="G176" i="4" s="1"/>
  <c r="G177" i="4" s="1"/>
  <c r="G178" i="4" s="1"/>
  <c r="G179" i="4" s="1"/>
  <c r="G180" i="4" s="1"/>
  <c r="G181" i="4" s="1"/>
  <c r="G182" i="4" s="1"/>
  <c r="G183" i="4" s="1"/>
  <c r="G184" i="4" s="1"/>
  <c r="G185" i="4" s="1"/>
  <c r="G186" i="4" s="1"/>
  <c r="G187" i="4" s="1"/>
  <c r="G188" i="4" s="1"/>
  <c r="G189" i="4" s="1"/>
  <c r="G190" i="4" s="1"/>
  <c r="G191" i="4" s="1"/>
  <c r="G192" i="4" s="1"/>
  <c r="G193" i="4" s="1"/>
  <c r="G194" i="4" s="1"/>
  <c r="G195" i="4" s="1"/>
  <c r="G196" i="4" s="1"/>
  <c r="G197" i="4" s="1"/>
  <c r="G198" i="4" s="1"/>
  <c r="G199" i="4" s="1"/>
  <c r="G200" i="4" s="1"/>
  <c r="G201" i="4" s="1"/>
  <c r="G202" i="4" s="1"/>
  <c r="G203" i="4" s="1"/>
  <c r="G204" i="4" s="1"/>
  <c r="G205" i="4" s="1"/>
  <c r="G206" i="4" s="1"/>
  <c r="G207" i="4" s="1"/>
  <c r="G208" i="4" s="1"/>
  <c r="G209" i="4" s="1"/>
  <c r="G210" i="4" s="1"/>
  <c r="G211" i="4" s="1"/>
  <c r="G212" i="4" s="1"/>
  <c r="G213" i="4" s="1"/>
  <c r="G214" i="4" s="1"/>
  <c r="G215" i="4" s="1"/>
  <c r="G216" i="4" s="1"/>
  <c r="G217" i="4" s="1"/>
  <c r="G218" i="4" s="1"/>
  <c r="G219" i="4" s="1"/>
  <c r="G220" i="4" s="1"/>
  <c r="G221" i="4" s="1"/>
  <c r="G222" i="4" s="1"/>
  <c r="G223" i="4" s="1"/>
  <c r="G224" i="4" s="1"/>
  <c r="G225" i="4" s="1"/>
  <c r="G226" i="4" s="1"/>
  <c r="G227" i="4" s="1"/>
  <c r="G228" i="4" s="1"/>
  <c r="G229" i="4" s="1"/>
  <c r="G230" i="4" s="1"/>
  <c r="G231" i="4" s="1"/>
  <c r="G232" i="4" s="1"/>
  <c r="G233" i="4" s="1"/>
  <c r="G234" i="4" s="1"/>
  <c r="G235" i="4" s="1"/>
  <c r="G236" i="4" s="1"/>
  <c r="G237" i="4" s="1"/>
  <c r="G238" i="4" s="1"/>
  <c r="G239" i="4" s="1"/>
  <c r="G240" i="4" s="1"/>
  <c r="G241" i="4" s="1"/>
  <c r="G242" i="4" s="1"/>
  <c r="G243" i="4" s="1"/>
  <c r="G244" i="4" s="1"/>
  <c r="G245" i="4" s="1"/>
  <c r="G246" i="4" s="1"/>
  <c r="G247" i="4" s="1"/>
  <c r="G248" i="4" s="1"/>
  <c r="G249" i="4" s="1"/>
  <c r="G250" i="4" s="1"/>
  <c r="G251" i="4" s="1"/>
  <c r="G252" i="4" s="1"/>
  <c r="G253" i="4" s="1"/>
  <c r="G254" i="4" s="1"/>
  <c r="G255" i="4" s="1"/>
  <c r="G256" i="4" s="1"/>
  <c r="G257" i="4" s="1"/>
  <c r="G258" i="4" s="1"/>
  <c r="G259" i="4" s="1"/>
  <c r="G260" i="4" s="1"/>
  <c r="G261" i="4" s="1"/>
  <c r="G262" i="4" s="1"/>
  <c r="G263" i="4" s="1"/>
  <c r="G264" i="4" s="1"/>
  <c r="G265" i="4" s="1"/>
  <c r="G266" i="4" s="1"/>
  <c r="G267" i="4" s="1"/>
  <c r="G268" i="4" s="1"/>
  <c r="G269" i="4" s="1"/>
  <c r="G270" i="4" s="1"/>
  <c r="G271" i="4" s="1"/>
  <c r="G272" i="4" s="1"/>
  <c r="G273" i="4" s="1"/>
  <c r="G274" i="4" s="1"/>
  <c r="G275" i="4" s="1"/>
  <c r="G276" i="4" s="1"/>
  <c r="G277" i="4" s="1"/>
  <c r="G278" i="4" s="1"/>
  <c r="G279" i="4" s="1"/>
  <c r="G280" i="4" s="1"/>
  <c r="G281" i="4" s="1"/>
  <c r="G282" i="4" s="1"/>
  <c r="G283" i="4" s="1"/>
  <c r="G284" i="4" s="1"/>
  <c r="G285" i="4" s="1"/>
  <c r="G286" i="4" s="1"/>
  <c r="G287" i="4" s="1"/>
  <c r="G288" i="4" s="1"/>
  <c r="G289" i="4" s="1"/>
  <c r="G290" i="4" s="1"/>
  <c r="G291" i="4" s="1"/>
  <c r="G292" i="4" s="1"/>
  <c r="G293" i="4" s="1"/>
  <c r="G294" i="4" s="1"/>
  <c r="G295" i="4" s="1"/>
  <c r="G296" i="4" s="1"/>
  <c r="G297" i="4" s="1"/>
  <c r="G298" i="4" s="1"/>
  <c r="G299" i="4" s="1"/>
  <c r="G300" i="4" s="1"/>
  <c r="G301" i="4" s="1"/>
  <c r="G302" i="4" s="1"/>
  <c r="G303" i="4" s="1"/>
  <c r="G304" i="4" s="1"/>
  <c r="G305" i="4" s="1"/>
  <c r="G306" i="4" s="1"/>
  <c r="G307" i="4" s="1"/>
  <c r="G308" i="4" s="1"/>
  <c r="G309" i="4" s="1"/>
  <c r="G310" i="4" s="1"/>
  <c r="G311" i="4" s="1"/>
  <c r="G312" i="4" s="1"/>
  <c r="G313" i="4" s="1"/>
  <c r="G314" i="4" s="1"/>
  <c r="G315" i="4" s="1"/>
  <c r="G316" i="4" s="1"/>
  <c r="G317" i="4" s="1"/>
  <c r="G318" i="4" s="1"/>
  <c r="G319" i="4" s="1"/>
  <c r="G320" i="4" s="1"/>
  <c r="G321" i="4" s="1"/>
  <c r="G322" i="4" s="1"/>
  <c r="G323" i="4" s="1"/>
  <c r="G324" i="4" s="1"/>
  <c r="G325" i="4" s="1"/>
  <c r="G326" i="4" s="1"/>
  <c r="G327" i="4" s="1"/>
  <c r="G328" i="4" s="1"/>
  <c r="G329" i="4" s="1"/>
  <c r="G330" i="4" s="1"/>
  <c r="G331" i="4" s="1"/>
  <c r="G332" i="4" s="1"/>
  <c r="G333" i="4" s="1"/>
  <c r="G334" i="4" s="1"/>
  <c r="G335" i="4" s="1"/>
  <c r="G336" i="4" s="1"/>
  <c r="G337" i="4" s="1"/>
  <c r="G338" i="4" s="1"/>
  <c r="G339" i="4" s="1"/>
  <c r="G340" i="4" s="1"/>
  <c r="G341" i="4" s="1"/>
  <c r="G342" i="4" s="1"/>
  <c r="G343" i="4" s="1"/>
  <c r="G344" i="4" s="1"/>
  <c r="G345" i="4" s="1"/>
  <c r="G346" i="4" s="1"/>
  <c r="G347" i="4" s="1"/>
  <c r="G348" i="4" s="1"/>
  <c r="G349" i="4" s="1"/>
  <c r="G350" i="4" s="1"/>
  <c r="G351" i="4" s="1"/>
  <c r="G352" i="4" s="1"/>
  <c r="G353" i="4" s="1"/>
  <c r="G354" i="4" s="1"/>
  <c r="G355" i="4" s="1"/>
  <c r="G356" i="4" s="1"/>
  <c r="G357" i="4" s="1"/>
  <c r="G358" i="4" s="1"/>
  <c r="G359" i="4" s="1"/>
  <c r="G360" i="4" s="1"/>
  <c r="G361" i="4" s="1"/>
  <c r="G362" i="4" s="1"/>
  <c r="G17" i="4"/>
  <c r="G18" i="4" s="1"/>
  <c r="G19" i="4" s="1"/>
  <c r="G20" i="4" s="1"/>
  <c r="G21" i="4" s="1"/>
  <c r="G22" i="4" s="1"/>
  <c r="G23" i="4" s="1"/>
  <c r="G24" i="4" s="1"/>
  <c r="G25" i="4" s="1"/>
  <c r="G26" i="4" s="1"/>
  <c r="G4" i="4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3" i="4"/>
  <c r="D29" i="3"/>
  <c r="D24" i="3"/>
  <c r="D23" i="3" a="1"/>
  <c r="D23" i="3" s="1"/>
  <c r="C39" i="3" s="1"/>
  <c r="D39" i="3" s="1"/>
  <c r="D22" i="3"/>
  <c r="J42" i="4" s="1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" i="4"/>
  <c r="J24" i="4" l="1"/>
  <c r="K24" i="4" s="1"/>
  <c r="J340" i="4"/>
  <c r="K340" i="4" s="1"/>
  <c r="K42" i="4"/>
  <c r="J247" i="4"/>
  <c r="K247" i="4" s="1"/>
  <c r="J232" i="4"/>
  <c r="K232" i="4" s="1"/>
  <c r="J215" i="4"/>
  <c r="K215" i="4" s="1"/>
  <c r="J139" i="4"/>
  <c r="K139" i="4" s="1"/>
  <c r="J124" i="4"/>
  <c r="K124" i="4" s="1"/>
  <c r="J69" i="4"/>
  <c r="K69" i="4" s="1"/>
  <c r="D30" i="3"/>
  <c r="D32" i="3" s="1"/>
  <c r="H3" i="4"/>
  <c r="H4" i="4" s="1"/>
  <c r="H5" i="4" s="1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H38" i="4" s="1"/>
  <c r="H39" i="4" s="1"/>
  <c r="H40" i="4" s="1"/>
  <c r="H41" i="4" s="1"/>
  <c r="H42" i="4" s="1"/>
  <c r="H43" i="4" s="1"/>
  <c r="H44" i="4" s="1"/>
  <c r="H45" i="4" s="1"/>
  <c r="H46" i="4" s="1"/>
  <c r="H47" i="4" s="1"/>
  <c r="H48" i="4" s="1"/>
  <c r="H49" i="4" s="1"/>
  <c r="H50" i="4" s="1"/>
  <c r="H51" i="4" s="1"/>
  <c r="H52" i="4" s="1"/>
  <c r="H53" i="4" s="1"/>
  <c r="H54" i="4" s="1"/>
  <c r="H55" i="4" s="1"/>
  <c r="H56" i="4" s="1"/>
  <c r="H57" i="4" s="1"/>
  <c r="H58" i="4" s="1"/>
  <c r="H59" i="4" s="1"/>
  <c r="H60" i="4" s="1"/>
  <c r="H61" i="4" s="1"/>
  <c r="H62" i="4" s="1"/>
  <c r="H63" i="4" s="1"/>
  <c r="H64" i="4" s="1"/>
  <c r="H65" i="4" s="1"/>
  <c r="H66" i="4" s="1"/>
  <c r="H67" i="4" s="1"/>
  <c r="H68" i="4" s="1"/>
  <c r="H69" i="4" s="1"/>
  <c r="H70" i="4" s="1"/>
  <c r="H71" i="4" s="1"/>
  <c r="H72" i="4" s="1"/>
  <c r="H73" i="4" s="1"/>
  <c r="H74" i="4" s="1"/>
  <c r="H75" i="4" s="1"/>
  <c r="H76" i="4" s="1"/>
  <c r="H77" i="4" s="1"/>
  <c r="H78" i="4" s="1"/>
  <c r="H79" i="4" s="1"/>
  <c r="H80" i="4" s="1"/>
  <c r="H81" i="4" s="1"/>
  <c r="H82" i="4" s="1"/>
  <c r="H83" i="4" s="1"/>
  <c r="H84" i="4" s="1"/>
  <c r="H85" i="4" s="1"/>
  <c r="H86" i="4" s="1"/>
  <c r="H87" i="4" s="1"/>
  <c r="H88" i="4" s="1"/>
  <c r="H89" i="4" s="1"/>
  <c r="H90" i="4" s="1"/>
  <c r="H91" i="4" s="1"/>
  <c r="H92" i="4" s="1"/>
  <c r="H93" i="4" s="1"/>
  <c r="H94" i="4" s="1"/>
  <c r="H95" i="4" s="1"/>
  <c r="H96" i="4" s="1"/>
  <c r="H97" i="4" s="1"/>
  <c r="H98" i="4" s="1"/>
  <c r="H99" i="4" s="1"/>
  <c r="H100" i="4" s="1"/>
  <c r="H101" i="4" s="1"/>
  <c r="H102" i="4" s="1"/>
  <c r="H103" i="4" s="1"/>
  <c r="H104" i="4" s="1"/>
  <c r="H105" i="4" s="1"/>
  <c r="H106" i="4" s="1"/>
  <c r="H107" i="4" s="1"/>
  <c r="H108" i="4" s="1"/>
  <c r="H109" i="4" s="1"/>
  <c r="H110" i="4" s="1"/>
  <c r="H111" i="4" s="1"/>
  <c r="H112" i="4" s="1"/>
  <c r="H113" i="4" s="1"/>
  <c r="H114" i="4" s="1"/>
  <c r="H115" i="4" s="1"/>
  <c r="H116" i="4" s="1"/>
  <c r="H117" i="4" s="1"/>
  <c r="H118" i="4" s="1"/>
  <c r="H119" i="4" s="1"/>
  <c r="H120" i="4" s="1"/>
  <c r="H121" i="4" s="1"/>
  <c r="H122" i="4" s="1"/>
  <c r="H123" i="4" s="1"/>
  <c r="H124" i="4" s="1"/>
  <c r="H125" i="4" s="1"/>
  <c r="H126" i="4" s="1"/>
  <c r="H127" i="4" s="1"/>
  <c r="H128" i="4" s="1"/>
  <c r="H129" i="4" s="1"/>
  <c r="H130" i="4" s="1"/>
  <c r="H131" i="4" s="1"/>
  <c r="H132" i="4" s="1"/>
  <c r="H133" i="4" s="1"/>
  <c r="H134" i="4" s="1"/>
  <c r="H135" i="4" s="1"/>
  <c r="H136" i="4" s="1"/>
  <c r="H137" i="4" s="1"/>
  <c r="H138" i="4" s="1"/>
  <c r="H139" i="4" s="1"/>
  <c r="H140" i="4" s="1"/>
  <c r="H141" i="4" s="1"/>
  <c r="H142" i="4" s="1"/>
  <c r="H143" i="4" s="1"/>
  <c r="H144" i="4" s="1"/>
  <c r="H145" i="4" s="1"/>
  <c r="H146" i="4" s="1"/>
  <c r="H147" i="4" s="1"/>
  <c r="H148" i="4" s="1"/>
  <c r="H149" i="4" s="1"/>
  <c r="H150" i="4" s="1"/>
  <c r="H151" i="4" s="1"/>
  <c r="H152" i="4" s="1"/>
  <c r="H153" i="4" s="1"/>
  <c r="H154" i="4" s="1"/>
  <c r="H155" i="4" s="1"/>
  <c r="H156" i="4" s="1"/>
  <c r="H157" i="4" s="1"/>
  <c r="H158" i="4" s="1"/>
  <c r="H159" i="4" s="1"/>
  <c r="H160" i="4" s="1"/>
  <c r="H161" i="4" s="1"/>
  <c r="H162" i="4" s="1"/>
  <c r="H163" i="4" s="1"/>
  <c r="H164" i="4" s="1"/>
  <c r="H165" i="4" s="1"/>
  <c r="H166" i="4" s="1"/>
  <c r="H167" i="4" s="1"/>
  <c r="H168" i="4" s="1"/>
  <c r="H169" i="4" s="1"/>
  <c r="H170" i="4" s="1"/>
  <c r="H171" i="4" s="1"/>
  <c r="H172" i="4" s="1"/>
  <c r="H173" i="4" s="1"/>
  <c r="H174" i="4" s="1"/>
  <c r="H175" i="4" s="1"/>
  <c r="H176" i="4" s="1"/>
  <c r="H177" i="4" s="1"/>
  <c r="H178" i="4" s="1"/>
  <c r="H179" i="4" s="1"/>
  <c r="H180" i="4" s="1"/>
  <c r="H181" i="4" s="1"/>
  <c r="H182" i="4" s="1"/>
  <c r="H183" i="4" s="1"/>
  <c r="H184" i="4" s="1"/>
  <c r="H185" i="4" s="1"/>
  <c r="H186" i="4" s="1"/>
  <c r="H187" i="4" s="1"/>
  <c r="H188" i="4" s="1"/>
  <c r="H189" i="4" s="1"/>
  <c r="H190" i="4" s="1"/>
  <c r="H191" i="4" s="1"/>
  <c r="H192" i="4" s="1"/>
  <c r="H193" i="4" s="1"/>
  <c r="H194" i="4" s="1"/>
  <c r="H195" i="4" s="1"/>
  <c r="H196" i="4" s="1"/>
  <c r="H197" i="4" s="1"/>
  <c r="H198" i="4" s="1"/>
  <c r="H199" i="4" s="1"/>
  <c r="H200" i="4" s="1"/>
  <c r="H201" i="4" s="1"/>
  <c r="H202" i="4" s="1"/>
  <c r="H203" i="4" s="1"/>
  <c r="H204" i="4" s="1"/>
  <c r="H205" i="4" s="1"/>
  <c r="H206" i="4" s="1"/>
  <c r="H207" i="4" s="1"/>
  <c r="H208" i="4" s="1"/>
  <c r="H209" i="4" s="1"/>
  <c r="H210" i="4" s="1"/>
  <c r="H211" i="4" s="1"/>
  <c r="H212" i="4" s="1"/>
  <c r="H213" i="4" s="1"/>
  <c r="H214" i="4" s="1"/>
  <c r="H215" i="4" s="1"/>
  <c r="H216" i="4" s="1"/>
  <c r="H217" i="4" s="1"/>
  <c r="H218" i="4" s="1"/>
  <c r="H219" i="4" s="1"/>
  <c r="H220" i="4" s="1"/>
  <c r="H221" i="4" s="1"/>
  <c r="H222" i="4" s="1"/>
  <c r="H223" i="4" s="1"/>
  <c r="H224" i="4" s="1"/>
  <c r="H225" i="4" s="1"/>
  <c r="H226" i="4" s="1"/>
  <c r="H227" i="4" s="1"/>
  <c r="H228" i="4" s="1"/>
  <c r="H229" i="4" s="1"/>
  <c r="H230" i="4" s="1"/>
  <c r="H231" i="4" s="1"/>
  <c r="H232" i="4" s="1"/>
  <c r="H233" i="4" s="1"/>
  <c r="H234" i="4" s="1"/>
  <c r="H235" i="4" s="1"/>
  <c r="H236" i="4" s="1"/>
  <c r="H237" i="4" s="1"/>
  <c r="H238" i="4" s="1"/>
  <c r="H239" i="4" s="1"/>
  <c r="H240" i="4" s="1"/>
  <c r="H241" i="4" s="1"/>
  <c r="H242" i="4" s="1"/>
  <c r="H243" i="4" s="1"/>
  <c r="H244" i="4" s="1"/>
  <c r="H245" i="4" s="1"/>
  <c r="H246" i="4" s="1"/>
  <c r="H247" i="4" s="1"/>
  <c r="H248" i="4" s="1"/>
  <c r="H249" i="4" s="1"/>
  <c r="H250" i="4" s="1"/>
  <c r="H251" i="4" s="1"/>
  <c r="H252" i="4" s="1"/>
  <c r="H253" i="4" s="1"/>
  <c r="H254" i="4" s="1"/>
  <c r="H255" i="4" s="1"/>
  <c r="H256" i="4" s="1"/>
  <c r="H257" i="4" s="1"/>
  <c r="H258" i="4" s="1"/>
  <c r="H259" i="4" s="1"/>
  <c r="H260" i="4" s="1"/>
  <c r="H261" i="4" s="1"/>
  <c r="H262" i="4" s="1"/>
  <c r="H263" i="4" s="1"/>
  <c r="H264" i="4" s="1"/>
  <c r="H265" i="4" s="1"/>
  <c r="H266" i="4" s="1"/>
  <c r="H267" i="4" s="1"/>
  <c r="H268" i="4" s="1"/>
  <c r="H269" i="4" s="1"/>
  <c r="H270" i="4" s="1"/>
  <c r="H271" i="4" s="1"/>
  <c r="H272" i="4" s="1"/>
  <c r="H273" i="4" s="1"/>
  <c r="H274" i="4" s="1"/>
  <c r="H275" i="4" s="1"/>
  <c r="H276" i="4" s="1"/>
  <c r="H277" i="4" s="1"/>
  <c r="H278" i="4" s="1"/>
  <c r="H279" i="4" s="1"/>
  <c r="H280" i="4" s="1"/>
  <c r="H281" i="4" s="1"/>
  <c r="H282" i="4" s="1"/>
  <c r="H283" i="4" s="1"/>
  <c r="H284" i="4" s="1"/>
  <c r="H285" i="4" s="1"/>
  <c r="H286" i="4" s="1"/>
  <c r="H287" i="4" s="1"/>
  <c r="H288" i="4" s="1"/>
  <c r="H289" i="4" s="1"/>
  <c r="H290" i="4" s="1"/>
  <c r="H291" i="4" s="1"/>
  <c r="H292" i="4" s="1"/>
  <c r="H293" i="4" s="1"/>
  <c r="H294" i="4" s="1"/>
  <c r="H295" i="4" s="1"/>
  <c r="H296" i="4" s="1"/>
  <c r="H297" i="4" s="1"/>
  <c r="H298" i="4" s="1"/>
  <c r="H299" i="4" s="1"/>
  <c r="H300" i="4" s="1"/>
  <c r="H301" i="4" s="1"/>
  <c r="H302" i="4" s="1"/>
  <c r="H303" i="4" s="1"/>
  <c r="H304" i="4" s="1"/>
  <c r="H305" i="4" s="1"/>
  <c r="H306" i="4" s="1"/>
  <c r="H307" i="4" s="1"/>
  <c r="H308" i="4" s="1"/>
  <c r="H309" i="4" s="1"/>
  <c r="H310" i="4" s="1"/>
  <c r="H311" i="4" s="1"/>
  <c r="H312" i="4" s="1"/>
  <c r="H313" i="4" s="1"/>
  <c r="H314" i="4" s="1"/>
  <c r="H315" i="4" s="1"/>
  <c r="H316" i="4" s="1"/>
  <c r="H317" i="4" s="1"/>
  <c r="H318" i="4" s="1"/>
  <c r="H319" i="4" s="1"/>
  <c r="H320" i="4" s="1"/>
  <c r="H321" i="4" s="1"/>
  <c r="H322" i="4" s="1"/>
  <c r="H323" i="4" s="1"/>
  <c r="H324" i="4" s="1"/>
  <c r="H325" i="4" s="1"/>
  <c r="H326" i="4" s="1"/>
  <c r="H327" i="4" s="1"/>
  <c r="H328" i="4" s="1"/>
  <c r="H329" i="4" s="1"/>
  <c r="H330" i="4" s="1"/>
  <c r="H331" i="4" s="1"/>
  <c r="H332" i="4" s="1"/>
  <c r="H333" i="4" s="1"/>
  <c r="H334" i="4" s="1"/>
  <c r="H335" i="4" s="1"/>
  <c r="H336" i="4" s="1"/>
  <c r="H337" i="4" s="1"/>
  <c r="H338" i="4" s="1"/>
  <c r="H339" i="4" s="1"/>
  <c r="H340" i="4" s="1"/>
  <c r="H341" i="4" s="1"/>
  <c r="H342" i="4" s="1"/>
  <c r="H343" i="4" s="1"/>
  <c r="H344" i="4" s="1"/>
  <c r="H345" i="4" s="1"/>
  <c r="H346" i="4" s="1"/>
  <c r="H347" i="4" s="1"/>
  <c r="H348" i="4" s="1"/>
  <c r="H349" i="4" s="1"/>
  <c r="H350" i="4" s="1"/>
  <c r="H351" i="4" s="1"/>
  <c r="H352" i="4" s="1"/>
  <c r="H353" i="4" s="1"/>
  <c r="H354" i="4" s="1"/>
  <c r="H355" i="4" s="1"/>
  <c r="H356" i="4" s="1"/>
  <c r="H357" i="4" s="1"/>
  <c r="H358" i="4" s="1"/>
  <c r="H359" i="4" s="1"/>
  <c r="H360" i="4" s="1"/>
  <c r="H361" i="4" s="1"/>
  <c r="H362" i="4" s="1"/>
  <c r="J19" i="4"/>
  <c r="K19" i="4" s="1"/>
  <c r="J339" i="4"/>
  <c r="K339" i="4" s="1"/>
  <c r="J229" i="4"/>
  <c r="K229" i="4" s="1"/>
  <c r="J214" i="4"/>
  <c r="K214" i="4" s="1"/>
  <c r="J197" i="4"/>
  <c r="K197" i="4" s="1"/>
  <c r="J121" i="4"/>
  <c r="K121" i="4" s="1"/>
  <c r="J87" i="4"/>
  <c r="K87" i="4" s="1"/>
  <c r="J66" i="4"/>
  <c r="K66" i="4" s="1"/>
  <c r="D28" i="3"/>
  <c r="D64" i="3" s="1"/>
  <c r="J30" i="4"/>
  <c r="K30" i="4" s="1"/>
  <c r="J36" i="4"/>
  <c r="K36" i="4" s="1"/>
  <c r="J67" i="4"/>
  <c r="K67" i="4" s="1"/>
  <c r="J73" i="4"/>
  <c r="K73" i="4" s="1"/>
  <c r="J79" i="4"/>
  <c r="K79" i="4" s="1"/>
  <c r="J85" i="4"/>
  <c r="K85" i="4" s="1"/>
  <c r="J91" i="4"/>
  <c r="K91" i="4" s="1"/>
  <c r="J116" i="4"/>
  <c r="K116" i="4" s="1"/>
  <c r="J122" i="4"/>
  <c r="K122" i="4" s="1"/>
  <c r="J128" i="4"/>
  <c r="K128" i="4" s="1"/>
  <c r="J134" i="4"/>
  <c r="K134" i="4" s="1"/>
  <c r="J140" i="4"/>
  <c r="K140" i="4" s="1"/>
  <c r="J146" i="4"/>
  <c r="K146" i="4" s="1"/>
  <c r="J152" i="4"/>
  <c r="K152" i="4" s="1"/>
  <c r="J158" i="4"/>
  <c r="K158" i="4" s="1"/>
  <c r="J164" i="4"/>
  <c r="K164" i="4" s="1"/>
  <c r="J170" i="4"/>
  <c r="K170" i="4" s="1"/>
  <c r="J176" i="4"/>
  <c r="K176" i="4" s="1"/>
  <c r="J182" i="4"/>
  <c r="K182" i="4" s="1"/>
  <c r="J188" i="4"/>
  <c r="K188" i="4" s="1"/>
  <c r="J194" i="4"/>
  <c r="K194" i="4" s="1"/>
  <c r="J200" i="4"/>
  <c r="K200" i="4" s="1"/>
  <c r="J206" i="4"/>
  <c r="K206" i="4" s="1"/>
  <c r="J212" i="4"/>
  <c r="K212" i="4" s="1"/>
  <c r="J218" i="4"/>
  <c r="K218" i="4" s="1"/>
  <c r="J224" i="4"/>
  <c r="K224" i="4" s="1"/>
  <c r="J230" i="4"/>
  <c r="K230" i="4" s="1"/>
  <c r="J236" i="4"/>
  <c r="K236" i="4" s="1"/>
  <c r="J242" i="4"/>
  <c r="K242" i="4" s="1"/>
  <c r="J248" i="4"/>
  <c r="K248" i="4" s="1"/>
  <c r="J254" i="4"/>
  <c r="K254" i="4" s="1"/>
  <c r="J260" i="4"/>
  <c r="K260" i="4" s="1"/>
  <c r="J266" i="4"/>
  <c r="K266" i="4" s="1"/>
  <c r="J272" i="4"/>
  <c r="K272" i="4" s="1"/>
  <c r="J278" i="4"/>
  <c r="K278" i="4" s="1"/>
  <c r="J284" i="4"/>
  <c r="K284" i="4" s="1"/>
  <c r="J290" i="4"/>
  <c r="K290" i="4" s="1"/>
  <c r="J296" i="4"/>
  <c r="K296" i="4" s="1"/>
  <c r="J309" i="4"/>
  <c r="K309" i="4" s="1"/>
  <c r="J322" i="4"/>
  <c r="K322" i="4" s="1"/>
  <c r="J328" i="4"/>
  <c r="K328" i="4" s="1"/>
  <c r="J334" i="4"/>
  <c r="K334" i="4" s="1"/>
  <c r="J347" i="4"/>
  <c r="K347" i="4" s="1"/>
  <c r="J360" i="4"/>
  <c r="K360" i="4" s="1"/>
  <c r="J8" i="4"/>
  <c r="K8" i="4" s="1"/>
  <c r="J20" i="4"/>
  <c r="K20" i="4" s="1"/>
  <c r="J105" i="4"/>
  <c r="K105" i="4" s="1"/>
  <c r="J304" i="4"/>
  <c r="K304" i="4" s="1"/>
  <c r="J43" i="4"/>
  <c r="K43" i="4" s="1"/>
  <c r="J49" i="4"/>
  <c r="K49" i="4" s="1"/>
  <c r="J55" i="4"/>
  <c r="K55" i="4" s="1"/>
  <c r="J61" i="4"/>
  <c r="K61" i="4" s="1"/>
  <c r="J98" i="4"/>
  <c r="K98" i="4" s="1"/>
  <c r="J104" i="4"/>
  <c r="K104" i="4" s="1"/>
  <c r="J110" i="4"/>
  <c r="K110" i="4" s="1"/>
  <c r="J303" i="4"/>
  <c r="K303" i="4" s="1"/>
  <c r="J316" i="4"/>
  <c r="K316" i="4" s="1"/>
  <c r="J341" i="4"/>
  <c r="K341" i="4" s="1"/>
  <c r="J354" i="4"/>
  <c r="K354" i="4" s="1"/>
  <c r="J9" i="4"/>
  <c r="K9" i="4" s="1"/>
  <c r="J21" i="4"/>
  <c r="K21" i="4" s="1"/>
  <c r="J44" i="4"/>
  <c r="K44" i="4" s="1"/>
  <c r="J111" i="4"/>
  <c r="K111" i="4" s="1"/>
  <c r="J342" i="4"/>
  <c r="K342" i="4" s="1"/>
  <c r="J355" i="4"/>
  <c r="K355" i="4" s="1"/>
  <c r="J27" i="4"/>
  <c r="K27" i="4" s="1"/>
  <c r="J31" i="4"/>
  <c r="K31" i="4" s="1"/>
  <c r="J37" i="4"/>
  <c r="K37" i="4" s="1"/>
  <c r="J62" i="4"/>
  <c r="K62" i="4" s="1"/>
  <c r="J68" i="4"/>
  <c r="K68" i="4" s="1"/>
  <c r="J74" i="4"/>
  <c r="K74" i="4" s="1"/>
  <c r="J80" i="4"/>
  <c r="K80" i="4" s="1"/>
  <c r="J86" i="4"/>
  <c r="K86" i="4" s="1"/>
  <c r="J92" i="4"/>
  <c r="K92" i="4" s="1"/>
  <c r="J117" i="4"/>
  <c r="K117" i="4" s="1"/>
  <c r="J123" i="4"/>
  <c r="K123" i="4" s="1"/>
  <c r="J129" i="4"/>
  <c r="K129" i="4" s="1"/>
  <c r="J135" i="4"/>
  <c r="K135" i="4" s="1"/>
  <c r="J141" i="4"/>
  <c r="K141" i="4" s="1"/>
  <c r="J147" i="4"/>
  <c r="K147" i="4" s="1"/>
  <c r="J153" i="4"/>
  <c r="K153" i="4" s="1"/>
  <c r="J159" i="4"/>
  <c r="K159" i="4" s="1"/>
  <c r="J165" i="4"/>
  <c r="K165" i="4" s="1"/>
  <c r="J171" i="4"/>
  <c r="K171" i="4" s="1"/>
  <c r="J177" i="4"/>
  <c r="K177" i="4" s="1"/>
  <c r="J183" i="4"/>
  <c r="K183" i="4" s="1"/>
  <c r="J189" i="4"/>
  <c r="K189" i="4" s="1"/>
  <c r="J195" i="4"/>
  <c r="K195" i="4" s="1"/>
  <c r="J201" i="4"/>
  <c r="K201" i="4" s="1"/>
  <c r="J207" i="4"/>
  <c r="K207" i="4" s="1"/>
  <c r="J213" i="4"/>
  <c r="K213" i="4" s="1"/>
  <c r="J219" i="4"/>
  <c r="K219" i="4" s="1"/>
  <c r="J225" i="4"/>
  <c r="K225" i="4" s="1"/>
  <c r="J231" i="4"/>
  <c r="K231" i="4" s="1"/>
  <c r="J237" i="4"/>
  <c r="K237" i="4" s="1"/>
  <c r="J243" i="4"/>
  <c r="K243" i="4" s="1"/>
  <c r="J249" i="4"/>
  <c r="K249" i="4" s="1"/>
  <c r="J255" i="4"/>
  <c r="K255" i="4" s="1"/>
  <c r="J261" i="4"/>
  <c r="K261" i="4" s="1"/>
  <c r="J267" i="4"/>
  <c r="K267" i="4" s="1"/>
  <c r="J273" i="4"/>
  <c r="K273" i="4" s="1"/>
  <c r="J279" i="4"/>
  <c r="K279" i="4" s="1"/>
  <c r="J285" i="4"/>
  <c r="K285" i="4" s="1"/>
  <c r="J291" i="4"/>
  <c r="K291" i="4" s="1"/>
  <c r="J297" i="4"/>
  <c r="K297" i="4" s="1"/>
  <c r="J310" i="4"/>
  <c r="K310" i="4" s="1"/>
  <c r="J323" i="4"/>
  <c r="K323" i="4" s="1"/>
  <c r="J329" i="4"/>
  <c r="K329" i="4" s="1"/>
  <c r="J335" i="4"/>
  <c r="K335" i="4" s="1"/>
  <c r="J348" i="4"/>
  <c r="K348" i="4" s="1"/>
  <c r="J361" i="4"/>
  <c r="K361" i="4" s="1"/>
  <c r="J10" i="4"/>
  <c r="K10" i="4" s="1"/>
  <c r="J22" i="4"/>
  <c r="K22" i="4" s="1"/>
  <c r="J50" i="4"/>
  <c r="K50" i="4" s="1"/>
  <c r="J56" i="4"/>
  <c r="K56" i="4" s="1"/>
  <c r="J99" i="4"/>
  <c r="K99" i="4" s="1"/>
  <c r="J317" i="4"/>
  <c r="K317" i="4" s="1"/>
  <c r="J34" i="4"/>
  <c r="K34" i="4" s="1"/>
  <c r="J63" i="4"/>
  <c r="K63" i="4" s="1"/>
  <c r="J71" i="4"/>
  <c r="K71" i="4" s="1"/>
  <c r="J81" i="4"/>
  <c r="K81" i="4" s="1"/>
  <c r="J89" i="4"/>
  <c r="K89" i="4" s="1"/>
  <c r="J118" i="4"/>
  <c r="K118" i="4" s="1"/>
  <c r="J126" i="4"/>
  <c r="K126" i="4" s="1"/>
  <c r="J136" i="4"/>
  <c r="K136" i="4" s="1"/>
  <c r="J144" i="4"/>
  <c r="K144" i="4" s="1"/>
  <c r="J154" i="4"/>
  <c r="K154" i="4" s="1"/>
  <c r="J162" i="4"/>
  <c r="K162" i="4" s="1"/>
  <c r="J172" i="4"/>
  <c r="K172" i="4" s="1"/>
  <c r="J180" i="4"/>
  <c r="K180" i="4" s="1"/>
  <c r="J190" i="4"/>
  <c r="K190" i="4" s="1"/>
  <c r="J198" i="4"/>
  <c r="K198" i="4" s="1"/>
  <c r="J208" i="4"/>
  <c r="K208" i="4" s="1"/>
  <c r="J216" i="4"/>
  <c r="K216" i="4" s="1"/>
  <c r="J226" i="4"/>
  <c r="K226" i="4" s="1"/>
  <c r="J234" i="4"/>
  <c r="K234" i="4" s="1"/>
  <c r="J244" i="4"/>
  <c r="K244" i="4" s="1"/>
  <c r="J252" i="4"/>
  <c r="K252" i="4" s="1"/>
  <c r="J262" i="4"/>
  <c r="K262" i="4" s="1"/>
  <c r="J270" i="4"/>
  <c r="K270" i="4" s="1"/>
  <c r="J280" i="4"/>
  <c r="K280" i="4" s="1"/>
  <c r="J288" i="4"/>
  <c r="K288" i="4" s="1"/>
  <c r="J298" i="4"/>
  <c r="K298" i="4" s="1"/>
  <c r="J353" i="4"/>
  <c r="K353" i="4" s="1"/>
  <c r="J13" i="4"/>
  <c r="K13" i="4" s="1"/>
  <c r="J14" i="4"/>
  <c r="K14" i="4" s="1"/>
  <c r="J28" i="4"/>
  <c r="K28" i="4" s="1"/>
  <c r="J119" i="4"/>
  <c r="K119" i="4" s="1"/>
  <c r="J163" i="4"/>
  <c r="K163" i="4" s="1"/>
  <c r="J199" i="4"/>
  <c r="K199" i="4" s="1"/>
  <c r="J227" i="4"/>
  <c r="K227" i="4" s="1"/>
  <c r="J245" i="4"/>
  <c r="K245" i="4" s="1"/>
  <c r="J253" i="4"/>
  <c r="K253" i="4" s="1"/>
  <c r="J271" i="4"/>
  <c r="K271" i="4" s="1"/>
  <c r="J289" i="4"/>
  <c r="K289" i="4" s="1"/>
  <c r="J299" i="4"/>
  <c r="K299" i="4" s="1"/>
  <c r="J356" i="4"/>
  <c r="K356" i="4" s="1"/>
  <c r="J46" i="4"/>
  <c r="K46" i="4" s="1"/>
  <c r="J54" i="4"/>
  <c r="K54" i="4" s="1"/>
  <c r="J101" i="4"/>
  <c r="K101" i="4" s="1"/>
  <c r="J109" i="4"/>
  <c r="K109" i="4" s="1"/>
  <c r="J319" i="4"/>
  <c r="K319" i="4" s="1"/>
  <c r="J337" i="4"/>
  <c r="K337" i="4" s="1"/>
  <c r="J346" i="4"/>
  <c r="K346" i="4" s="1"/>
  <c r="J16" i="4"/>
  <c r="K16" i="4" s="1"/>
  <c r="J45" i="4"/>
  <c r="K45" i="4" s="1"/>
  <c r="J53" i="4"/>
  <c r="K53" i="4" s="1"/>
  <c r="J100" i="4"/>
  <c r="K100" i="4" s="1"/>
  <c r="J108" i="4"/>
  <c r="K108" i="4" s="1"/>
  <c r="J307" i="4"/>
  <c r="K307" i="4" s="1"/>
  <c r="J318" i="4"/>
  <c r="K318" i="4" s="1"/>
  <c r="J326" i="4"/>
  <c r="K326" i="4" s="1"/>
  <c r="J336" i="4"/>
  <c r="K336" i="4" s="1"/>
  <c r="J345" i="4"/>
  <c r="K345" i="4" s="1"/>
  <c r="J35" i="4"/>
  <c r="K35" i="4" s="1"/>
  <c r="J64" i="4"/>
  <c r="K64" i="4" s="1"/>
  <c r="J72" i="4"/>
  <c r="K72" i="4" s="1"/>
  <c r="J82" i="4"/>
  <c r="K82" i="4" s="1"/>
  <c r="J90" i="4"/>
  <c r="K90" i="4" s="1"/>
  <c r="J127" i="4"/>
  <c r="K127" i="4" s="1"/>
  <c r="J137" i="4"/>
  <c r="K137" i="4" s="1"/>
  <c r="J145" i="4"/>
  <c r="K145" i="4" s="1"/>
  <c r="J155" i="4"/>
  <c r="K155" i="4" s="1"/>
  <c r="J173" i="4"/>
  <c r="K173" i="4" s="1"/>
  <c r="J181" i="4"/>
  <c r="K181" i="4" s="1"/>
  <c r="J191" i="4"/>
  <c r="K191" i="4" s="1"/>
  <c r="J209" i="4"/>
  <c r="K209" i="4" s="1"/>
  <c r="J217" i="4"/>
  <c r="K217" i="4" s="1"/>
  <c r="J235" i="4"/>
  <c r="K235" i="4" s="1"/>
  <c r="J263" i="4"/>
  <c r="K263" i="4" s="1"/>
  <c r="J281" i="4"/>
  <c r="K281" i="4" s="1"/>
  <c r="J308" i="4"/>
  <c r="K308" i="4" s="1"/>
  <c r="J15" i="4"/>
  <c r="K15" i="4" s="1"/>
  <c r="J327" i="4"/>
  <c r="K327" i="4" s="1"/>
  <c r="J357" i="4"/>
  <c r="K357" i="4" s="1"/>
  <c r="J38" i="4"/>
  <c r="K38" i="4" s="1"/>
  <c r="J65" i="4"/>
  <c r="K65" i="4" s="1"/>
  <c r="J75" i="4"/>
  <c r="K75" i="4" s="1"/>
  <c r="J83" i="4"/>
  <c r="K83" i="4" s="1"/>
  <c r="J93" i="4"/>
  <c r="K93" i="4" s="1"/>
  <c r="J120" i="4"/>
  <c r="K120" i="4" s="1"/>
  <c r="J130" i="4"/>
  <c r="K130" i="4" s="1"/>
  <c r="J138" i="4"/>
  <c r="K138" i="4" s="1"/>
  <c r="J148" i="4"/>
  <c r="K148" i="4" s="1"/>
  <c r="J156" i="4"/>
  <c r="K156" i="4" s="1"/>
  <c r="J166" i="4"/>
  <c r="K166" i="4" s="1"/>
  <c r="J174" i="4"/>
  <c r="K174" i="4" s="1"/>
  <c r="J184" i="4"/>
  <c r="K184" i="4" s="1"/>
  <c r="J192" i="4"/>
  <c r="K192" i="4" s="1"/>
  <c r="J202" i="4"/>
  <c r="K202" i="4" s="1"/>
  <c r="J210" i="4"/>
  <c r="K210" i="4" s="1"/>
  <c r="J220" i="4"/>
  <c r="K220" i="4" s="1"/>
  <c r="J228" i="4"/>
  <c r="K228" i="4" s="1"/>
  <c r="J238" i="4"/>
  <c r="K238" i="4" s="1"/>
  <c r="J246" i="4"/>
  <c r="K246" i="4" s="1"/>
  <c r="J256" i="4"/>
  <c r="K256" i="4" s="1"/>
  <c r="J264" i="4"/>
  <c r="K264" i="4" s="1"/>
  <c r="J274" i="4"/>
  <c r="K274" i="4" s="1"/>
  <c r="J282" i="4"/>
  <c r="K282" i="4" s="1"/>
  <c r="J292" i="4"/>
  <c r="K292" i="4" s="1"/>
  <c r="J300" i="4"/>
  <c r="K300" i="4" s="1"/>
  <c r="J311" i="4"/>
  <c r="K311" i="4" s="1"/>
  <c r="J338" i="4"/>
  <c r="K338" i="4" s="1"/>
  <c r="J17" i="4"/>
  <c r="K17" i="4" s="1"/>
  <c r="J57" i="4"/>
  <c r="K57" i="4" s="1"/>
  <c r="J41" i="4"/>
  <c r="K41" i="4" s="1"/>
  <c r="J51" i="4"/>
  <c r="K51" i="4" s="1"/>
  <c r="J59" i="4"/>
  <c r="K59" i="4" s="1"/>
  <c r="J96" i="4"/>
  <c r="K96" i="4" s="1"/>
  <c r="J306" i="4"/>
  <c r="K306" i="4" s="1"/>
  <c r="J293" i="4"/>
  <c r="K293" i="4" s="1"/>
  <c r="J259" i="4"/>
  <c r="K259" i="4" s="1"/>
  <c r="J168" i="4"/>
  <c r="K168" i="4" s="1"/>
  <c r="J151" i="4"/>
  <c r="K151" i="4" s="1"/>
  <c r="J106" i="4"/>
  <c r="K106" i="4" s="1"/>
  <c r="J47" i="4"/>
  <c r="K47" i="4" s="1"/>
  <c r="J275" i="4"/>
  <c r="K275" i="4" s="1"/>
  <c r="J196" i="4"/>
  <c r="K196" i="4" s="1"/>
  <c r="J115" i="4"/>
  <c r="K115" i="4" s="1"/>
  <c r="J40" i="4"/>
  <c r="K40" i="4" s="1"/>
  <c r="J302" i="4"/>
  <c r="K302" i="4" s="1"/>
  <c r="J240" i="4"/>
  <c r="K240" i="4" s="1"/>
  <c r="J149" i="4"/>
  <c r="K149" i="4" s="1"/>
  <c r="J7" i="4"/>
  <c r="K7" i="4" s="1"/>
  <c r="J301" i="4"/>
  <c r="K301" i="4" s="1"/>
  <c r="J161" i="4"/>
  <c r="K161" i="4" s="1"/>
  <c r="J114" i="4"/>
  <c r="K114" i="4" s="1"/>
  <c r="J39" i="4"/>
  <c r="K39" i="4" s="1"/>
  <c r="J6" i="4"/>
  <c r="K6" i="4" s="1"/>
  <c r="J222" i="4"/>
  <c r="K222" i="4" s="1"/>
  <c r="J77" i="4"/>
  <c r="K77" i="4" s="1"/>
  <c r="J5" i="4"/>
  <c r="K5" i="4" s="1"/>
  <c r="J251" i="4"/>
  <c r="K251" i="4" s="1"/>
  <c r="J160" i="4"/>
  <c r="K160" i="4" s="1"/>
  <c r="J52" i="4"/>
  <c r="K52" i="4" s="1"/>
  <c r="J352" i="4"/>
  <c r="K352" i="4" s="1"/>
  <c r="J305" i="4"/>
  <c r="K305" i="4" s="1"/>
  <c r="J241" i="4"/>
  <c r="K241" i="4" s="1"/>
  <c r="J150" i="4"/>
  <c r="K150" i="4" s="1"/>
  <c r="J60" i="4"/>
  <c r="K60" i="4" s="1"/>
  <c r="J321" i="4"/>
  <c r="K321" i="4" s="1"/>
  <c r="J211" i="4"/>
  <c r="K211" i="4" s="1"/>
  <c r="J84" i="4"/>
  <c r="K84" i="4" s="1"/>
  <c r="J351" i="4"/>
  <c r="K351" i="4" s="1"/>
  <c r="J315" i="4"/>
  <c r="K315" i="4" s="1"/>
  <c r="J193" i="4"/>
  <c r="K193" i="4" s="1"/>
  <c r="J78" i="4"/>
  <c r="K78" i="4" s="1"/>
  <c r="J314" i="4"/>
  <c r="K314" i="4" s="1"/>
  <c r="J205" i="4"/>
  <c r="K205" i="4" s="1"/>
  <c r="J349" i="4"/>
  <c r="K349" i="4" s="1"/>
  <c r="J268" i="4"/>
  <c r="K268" i="4" s="1"/>
  <c r="J175" i="4"/>
  <c r="K175" i="4" s="1"/>
  <c r="J143" i="4"/>
  <c r="K143" i="4" s="1"/>
  <c r="J113" i="4"/>
  <c r="K113" i="4" s="1"/>
  <c r="J33" i="4"/>
  <c r="K33" i="4" s="1"/>
  <c r="J3" i="4"/>
  <c r="K3" i="4" s="1"/>
  <c r="J4" i="4"/>
  <c r="K4" i="4" s="1"/>
  <c r="J362" i="4"/>
  <c r="K362" i="4" s="1"/>
  <c r="J344" i="4"/>
  <c r="K344" i="4" s="1"/>
  <c r="J313" i="4"/>
  <c r="K313" i="4" s="1"/>
  <c r="J295" i="4"/>
  <c r="K295" i="4" s="1"/>
  <c r="J221" i="4"/>
  <c r="K221" i="4" s="1"/>
  <c r="J204" i="4"/>
  <c r="K204" i="4" s="1"/>
  <c r="J187" i="4"/>
  <c r="K187" i="4" s="1"/>
  <c r="J95" i="4"/>
  <c r="K95" i="4" s="1"/>
  <c r="J76" i="4"/>
  <c r="K76" i="4" s="1"/>
  <c r="J32" i="4"/>
  <c r="K32" i="4" s="1"/>
  <c r="J257" i="4"/>
  <c r="K257" i="4" s="1"/>
  <c r="J332" i="4"/>
  <c r="K332" i="4" s="1"/>
  <c r="J286" i="4"/>
  <c r="K286" i="4" s="1"/>
  <c r="J178" i="4"/>
  <c r="K178" i="4" s="1"/>
  <c r="J97" i="4"/>
  <c r="K97" i="4" s="1"/>
  <c r="J58" i="4"/>
  <c r="K58" i="4" s="1"/>
  <c r="J239" i="4"/>
  <c r="K239" i="4" s="1"/>
  <c r="J131" i="4"/>
  <c r="K131" i="4" s="1"/>
  <c r="J331" i="4"/>
  <c r="K331" i="4" s="1"/>
  <c r="J283" i="4"/>
  <c r="K283" i="4" s="1"/>
  <c r="J26" i="4"/>
  <c r="K26" i="4" s="1"/>
  <c r="J343" i="4"/>
  <c r="K343" i="4" s="1"/>
  <c r="J330" i="4"/>
  <c r="K330" i="4" s="1"/>
  <c r="J265" i="4"/>
  <c r="K265" i="4" s="1"/>
  <c r="J250" i="4"/>
  <c r="K250" i="4" s="1"/>
  <c r="J233" i="4"/>
  <c r="K233" i="4" s="1"/>
  <c r="J157" i="4"/>
  <c r="K157" i="4" s="1"/>
  <c r="J142" i="4"/>
  <c r="K142" i="4" s="1"/>
  <c r="J125" i="4"/>
  <c r="K125" i="4" s="1"/>
  <c r="J112" i="4"/>
  <c r="K112" i="4" s="1"/>
  <c r="J94" i="4"/>
  <c r="K94" i="4" s="1"/>
  <c r="J23" i="4"/>
  <c r="K23" i="4" s="1"/>
  <c r="J358" i="4"/>
  <c r="K358" i="4" s="1"/>
  <c r="J324" i="4"/>
  <c r="K324" i="4" s="1"/>
  <c r="J276" i="4"/>
  <c r="K276" i="4" s="1"/>
  <c r="J185" i="4"/>
  <c r="K185" i="4" s="1"/>
  <c r="J88" i="4"/>
  <c r="K88" i="4" s="1"/>
  <c r="J18" i="4"/>
  <c r="K18" i="4" s="1"/>
  <c r="J258" i="4"/>
  <c r="K258" i="4" s="1"/>
  <c r="J167" i="4"/>
  <c r="K167" i="4" s="1"/>
  <c r="J133" i="4"/>
  <c r="K133" i="4" s="1"/>
  <c r="J103" i="4"/>
  <c r="K103" i="4" s="1"/>
  <c r="J12" i="4"/>
  <c r="K12" i="4" s="1"/>
  <c r="J333" i="4"/>
  <c r="K333" i="4" s="1"/>
  <c r="J287" i="4"/>
  <c r="K287" i="4" s="1"/>
  <c r="J179" i="4"/>
  <c r="K179" i="4" s="1"/>
  <c r="J11" i="4"/>
  <c r="K11" i="4" s="1"/>
  <c r="J320" i="4"/>
  <c r="K320" i="4" s="1"/>
  <c r="J223" i="4"/>
  <c r="K223" i="4" s="1"/>
  <c r="J132" i="4"/>
  <c r="K132" i="4" s="1"/>
  <c r="J102" i="4"/>
  <c r="K102" i="4" s="1"/>
  <c r="J350" i="4"/>
  <c r="K350" i="4" s="1"/>
  <c r="J269" i="4"/>
  <c r="K269" i="4" s="1"/>
  <c r="J25" i="4"/>
  <c r="K25" i="4" s="1"/>
  <c r="J359" i="4"/>
  <c r="K359" i="4" s="1"/>
  <c r="J325" i="4"/>
  <c r="K325" i="4" s="1"/>
  <c r="J312" i="4"/>
  <c r="K312" i="4" s="1"/>
  <c r="J294" i="4"/>
  <c r="K294" i="4" s="1"/>
  <c r="J277" i="4"/>
  <c r="K277" i="4" s="1"/>
  <c r="J203" i="4"/>
  <c r="K203" i="4" s="1"/>
  <c r="J186" i="4"/>
  <c r="K186" i="4" s="1"/>
  <c r="J169" i="4"/>
  <c r="K169" i="4" s="1"/>
  <c r="J107" i="4"/>
  <c r="K107" i="4" s="1"/>
  <c r="J70" i="4"/>
  <c r="K70" i="4" s="1"/>
  <c r="J48" i="4"/>
  <c r="K48" i="4" s="1"/>
  <c r="J29" i="4"/>
  <c r="K29" i="4" s="1"/>
  <c r="C36" i="3"/>
  <c r="D36" i="3" s="1"/>
  <c r="C41" i="3"/>
  <c r="D41" i="3" s="1"/>
  <c r="C40" i="3"/>
  <c r="D40" i="3" s="1"/>
  <c r="C38" i="3"/>
  <c r="D38" i="3" s="1"/>
  <c r="C37" i="3"/>
  <c r="D37" i="3" s="1"/>
  <c r="D25" i="3"/>
  <c r="I3" i="4" s="1"/>
  <c r="I4" i="4" s="1"/>
  <c r="I5" i="4" s="1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42" i="4" s="1"/>
  <c r="I43" i="4" s="1"/>
  <c r="I44" i="4" s="1"/>
  <c r="I45" i="4" s="1"/>
  <c r="I46" i="4" s="1"/>
  <c r="I47" i="4" s="1"/>
  <c r="I48" i="4" s="1"/>
  <c r="I49" i="4" s="1"/>
  <c r="I50" i="4" s="1"/>
  <c r="I51" i="4" s="1"/>
  <c r="I52" i="4" s="1"/>
  <c r="I53" i="4" s="1"/>
  <c r="I54" i="4" s="1"/>
  <c r="I55" i="4" s="1"/>
  <c r="I56" i="4" s="1"/>
  <c r="I57" i="4" s="1"/>
  <c r="I58" i="4" s="1"/>
  <c r="I59" i="4" s="1"/>
  <c r="I60" i="4" s="1"/>
  <c r="I61" i="4" s="1"/>
  <c r="I62" i="4" s="1"/>
  <c r="I63" i="4" s="1"/>
  <c r="I64" i="4" s="1"/>
  <c r="I65" i="4" s="1"/>
  <c r="I66" i="4" s="1"/>
  <c r="I67" i="4" s="1"/>
  <c r="I68" i="4" s="1"/>
  <c r="I69" i="4" s="1"/>
  <c r="I70" i="4" s="1"/>
  <c r="I71" i="4" s="1"/>
  <c r="I72" i="4" s="1"/>
  <c r="I73" i="4" s="1"/>
  <c r="I74" i="4" s="1"/>
  <c r="I75" i="4" s="1"/>
  <c r="I76" i="4" s="1"/>
  <c r="I77" i="4" s="1"/>
  <c r="I78" i="4" s="1"/>
  <c r="I79" i="4" s="1"/>
  <c r="I80" i="4" s="1"/>
  <c r="I81" i="4" s="1"/>
  <c r="I82" i="4" s="1"/>
  <c r="I83" i="4" s="1"/>
  <c r="I84" i="4" s="1"/>
  <c r="I85" i="4" s="1"/>
  <c r="I86" i="4" s="1"/>
  <c r="I87" i="4" s="1"/>
  <c r="I88" i="4" s="1"/>
  <c r="I89" i="4" s="1"/>
  <c r="I90" i="4" s="1"/>
  <c r="I91" i="4" s="1"/>
  <c r="I92" i="4" s="1"/>
  <c r="I93" i="4" s="1"/>
  <c r="I94" i="4" s="1"/>
  <c r="I95" i="4" s="1"/>
  <c r="I96" i="4" s="1"/>
  <c r="I97" i="4" s="1"/>
  <c r="I98" i="4" s="1"/>
  <c r="I99" i="4" s="1"/>
  <c r="I100" i="4" s="1"/>
  <c r="I101" i="4" s="1"/>
  <c r="I102" i="4" s="1"/>
  <c r="I103" i="4" s="1"/>
  <c r="I104" i="4" s="1"/>
  <c r="I105" i="4" s="1"/>
  <c r="I106" i="4" s="1"/>
  <c r="I107" i="4" s="1"/>
  <c r="I108" i="4" s="1"/>
  <c r="I109" i="4" s="1"/>
  <c r="I110" i="4" s="1"/>
  <c r="I111" i="4" s="1"/>
  <c r="I112" i="4" s="1"/>
  <c r="I113" i="4" s="1"/>
  <c r="I114" i="4" s="1"/>
  <c r="I115" i="4" s="1"/>
  <c r="I116" i="4" s="1"/>
  <c r="I117" i="4" s="1"/>
  <c r="I118" i="4" s="1"/>
  <c r="I119" i="4" s="1"/>
  <c r="I120" i="4" s="1"/>
  <c r="I121" i="4" s="1"/>
  <c r="I122" i="4" s="1"/>
  <c r="I123" i="4" s="1"/>
  <c r="I124" i="4" s="1"/>
  <c r="I125" i="4" s="1"/>
  <c r="I126" i="4" s="1"/>
  <c r="I127" i="4" s="1"/>
  <c r="I128" i="4" s="1"/>
  <c r="I129" i="4" s="1"/>
  <c r="I130" i="4" s="1"/>
  <c r="I131" i="4" s="1"/>
  <c r="I132" i="4" s="1"/>
  <c r="I133" i="4" s="1"/>
  <c r="I134" i="4" s="1"/>
  <c r="I135" i="4" s="1"/>
  <c r="I136" i="4" s="1"/>
  <c r="I137" i="4" s="1"/>
  <c r="I138" i="4" s="1"/>
  <c r="I139" i="4" s="1"/>
  <c r="I140" i="4" s="1"/>
  <c r="I141" i="4" s="1"/>
  <c r="I142" i="4" s="1"/>
  <c r="I143" i="4" s="1"/>
  <c r="I144" i="4" s="1"/>
  <c r="I145" i="4" s="1"/>
  <c r="I146" i="4" s="1"/>
  <c r="I147" i="4" s="1"/>
  <c r="I148" i="4" s="1"/>
  <c r="I149" i="4" s="1"/>
  <c r="I150" i="4" s="1"/>
  <c r="I151" i="4" s="1"/>
  <c r="I152" i="4" s="1"/>
  <c r="I153" i="4" s="1"/>
  <c r="I154" i="4" s="1"/>
  <c r="I155" i="4" s="1"/>
  <c r="I156" i="4" s="1"/>
  <c r="I157" i="4" s="1"/>
  <c r="I158" i="4" s="1"/>
  <c r="I159" i="4" s="1"/>
  <c r="I160" i="4" s="1"/>
  <c r="I161" i="4" s="1"/>
  <c r="I162" i="4" s="1"/>
  <c r="I163" i="4" s="1"/>
  <c r="I164" i="4" s="1"/>
  <c r="I165" i="4" s="1"/>
  <c r="I166" i="4" s="1"/>
  <c r="I167" i="4" s="1"/>
  <c r="I168" i="4" s="1"/>
  <c r="I169" i="4" s="1"/>
  <c r="I170" i="4" s="1"/>
  <c r="I171" i="4" s="1"/>
  <c r="I172" i="4" s="1"/>
  <c r="I173" i="4" s="1"/>
  <c r="I174" i="4" s="1"/>
  <c r="I175" i="4" s="1"/>
  <c r="I176" i="4" s="1"/>
  <c r="I177" i="4" s="1"/>
  <c r="I178" i="4" s="1"/>
  <c r="I179" i="4" s="1"/>
  <c r="I180" i="4" s="1"/>
  <c r="I181" i="4" s="1"/>
  <c r="I182" i="4" s="1"/>
  <c r="I183" i="4" s="1"/>
  <c r="I184" i="4" s="1"/>
  <c r="I185" i="4" s="1"/>
  <c r="I186" i="4" s="1"/>
  <c r="I187" i="4" s="1"/>
  <c r="I188" i="4" s="1"/>
  <c r="I189" i="4" s="1"/>
  <c r="I190" i="4" s="1"/>
  <c r="I191" i="4" s="1"/>
  <c r="I192" i="4" s="1"/>
  <c r="I193" i="4" s="1"/>
  <c r="I194" i="4" s="1"/>
  <c r="I195" i="4" s="1"/>
  <c r="I196" i="4" s="1"/>
  <c r="I197" i="4" s="1"/>
  <c r="I198" i="4" s="1"/>
  <c r="I199" i="4" s="1"/>
  <c r="I200" i="4" s="1"/>
  <c r="I201" i="4" s="1"/>
  <c r="I202" i="4" s="1"/>
  <c r="I203" i="4" s="1"/>
  <c r="I204" i="4" s="1"/>
  <c r="I205" i="4" s="1"/>
  <c r="I206" i="4" s="1"/>
  <c r="I207" i="4" s="1"/>
  <c r="I208" i="4" s="1"/>
  <c r="I209" i="4" s="1"/>
  <c r="I210" i="4" s="1"/>
  <c r="I211" i="4" s="1"/>
  <c r="I212" i="4" s="1"/>
  <c r="I213" i="4" s="1"/>
  <c r="I214" i="4" s="1"/>
  <c r="I215" i="4" s="1"/>
  <c r="I216" i="4" s="1"/>
  <c r="I217" i="4" s="1"/>
  <c r="I218" i="4" s="1"/>
  <c r="I219" i="4" s="1"/>
  <c r="I220" i="4" s="1"/>
  <c r="I221" i="4" s="1"/>
  <c r="I222" i="4" s="1"/>
  <c r="I223" i="4" s="1"/>
  <c r="I224" i="4" s="1"/>
  <c r="I225" i="4" s="1"/>
  <c r="I226" i="4" s="1"/>
  <c r="I227" i="4" s="1"/>
  <c r="I228" i="4" s="1"/>
  <c r="I229" i="4" s="1"/>
  <c r="I230" i="4" s="1"/>
  <c r="I231" i="4" s="1"/>
  <c r="I232" i="4" s="1"/>
  <c r="I233" i="4" s="1"/>
  <c r="I234" i="4" s="1"/>
  <c r="I235" i="4" s="1"/>
  <c r="I236" i="4" s="1"/>
  <c r="I237" i="4" s="1"/>
  <c r="I238" i="4" s="1"/>
  <c r="I239" i="4" s="1"/>
  <c r="I240" i="4" s="1"/>
  <c r="I241" i="4" s="1"/>
  <c r="I242" i="4" s="1"/>
  <c r="I243" i="4" s="1"/>
  <c r="I244" i="4" s="1"/>
  <c r="I245" i="4" s="1"/>
  <c r="I246" i="4" s="1"/>
  <c r="I247" i="4" s="1"/>
  <c r="I248" i="4" s="1"/>
  <c r="I249" i="4" s="1"/>
  <c r="I250" i="4" s="1"/>
  <c r="I251" i="4" s="1"/>
  <c r="I252" i="4" s="1"/>
  <c r="I253" i="4" s="1"/>
  <c r="I254" i="4" s="1"/>
  <c r="I255" i="4" s="1"/>
  <c r="I256" i="4" s="1"/>
  <c r="I257" i="4" s="1"/>
  <c r="I258" i="4" s="1"/>
  <c r="I259" i="4" s="1"/>
  <c r="I260" i="4" s="1"/>
  <c r="I261" i="4" s="1"/>
  <c r="I262" i="4" s="1"/>
  <c r="I263" i="4" s="1"/>
  <c r="I264" i="4" s="1"/>
  <c r="I265" i="4" s="1"/>
  <c r="I266" i="4" s="1"/>
  <c r="I267" i="4" s="1"/>
  <c r="I268" i="4" s="1"/>
  <c r="I269" i="4" s="1"/>
  <c r="I270" i="4" s="1"/>
  <c r="I271" i="4" s="1"/>
  <c r="I272" i="4" s="1"/>
  <c r="I273" i="4" s="1"/>
  <c r="I274" i="4" s="1"/>
  <c r="I275" i="4" s="1"/>
  <c r="I276" i="4" s="1"/>
  <c r="I277" i="4" s="1"/>
  <c r="I278" i="4" s="1"/>
  <c r="I279" i="4" s="1"/>
  <c r="I280" i="4" s="1"/>
  <c r="I281" i="4" s="1"/>
  <c r="I282" i="4" s="1"/>
  <c r="I283" i="4" s="1"/>
  <c r="I284" i="4" s="1"/>
  <c r="I285" i="4" s="1"/>
  <c r="I286" i="4" s="1"/>
  <c r="I287" i="4" s="1"/>
  <c r="I288" i="4" s="1"/>
  <c r="I289" i="4" s="1"/>
  <c r="I290" i="4" s="1"/>
  <c r="I291" i="4" s="1"/>
  <c r="I292" i="4" s="1"/>
  <c r="I293" i="4" s="1"/>
  <c r="I294" i="4" s="1"/>
  <c r="I295" i="4" s="1"/>
  <c r="I296" i="4" s="1"/>
  <c r="I297" i="4" s="1"/>
  <c r="I298" i="4" s="1"/>
  <c r="I299" i="4" s="1"/>
  <c r="I300" i="4" s="1"/>
  <c r="I301" i="4" s="1"/>
  <c r="I302" i="4" s="1"/>
  <c r="I303" i="4" s="1"/>
  <c r="I304" i="4" s="1"/>
  <c r="I305" i="4" s="1"/>
  <c r="I306" i="4" s="1"/>
  <c r="I307" i="4" s="1"/>
  <c r="I308" i="4" s="1"/>
  <c r="I309" i="4" s="1"/>
  <c r="I310" i="4" s="1"/>
  <c r="I311" i="4" s="1"/>
  <c r="I312" i="4" s="1"/>
  <c r="I313" i="4" s="1"/>
  <c r="I314" i="4" s="1"/>
  <c r="I315" i="4" s="1"/>
  <c r="I316" i="4" s="1"/>
  <c r="I317" i="4" s="1"/>
  <c r="I318" i="4" s="1"/>
  <c r="I319" i="4" s="1"/>
  <c r="I320" i="4" s="1"/>
  <c r="I321" i="4" s="1"/>
  <c r="I322" i="4" s="1"/>
  <c r="I323" i="4" s="1"/>
  <c r="I324" i="4" s="1"/>
  <c r="I325" i="4" s="1"/>
  <c r="I326" i="4" s="1"/>
  <c r="I327" i="4" s="1"/>
  <c r="I328" i="4" s="1"/>
  <c r="I329" i="4" s="1"/>
  <c r="I330" i="4" s="1"/>
  <c r="I331" i="4" s="1"/>
  <c r="I332" i="4" s="1"/>
  <c r="I333" i="4" s="1"/>
  <c r="I334" i="4" s="1"/>
  <c r="I335" i="4" s="1"/>
  <c r="I336" i="4" s="1"/>
  <c r="I337" i="4" s="1"/>
  <c r="I338" i="4" s="1"/>
  <c r="I339" i="4" s="1"/>
  <c r="I340" i="4" s="1"/>
  <c r="I341" i="4" s="1"/>
  <c r="I342" i="4" s="1"/>
  <c r="I343" i="4" s="1"/>
  <c r="I344" i="4" s="1"/>
  <c r="I345" i="4" s="1"/>
  <c r="I346" i="4" s="1"/>
  <c r="I347" i="4" s="1"/>
  <c r="I348" i="4" s="1"/>
  <c r="I349" i="4" s="1"/>
  <c r="I350" i="4" s="1"/>
  <c r="I351" i="4" s="1"/>
  <c r="I352" i="4" s="1"/>
  <c r="I353" i="4" s="1"/>
  <c r="I354" i="4" s="1"/>
  <c r="I355" i="4" s="1"/>
  <c r="I356" i="4" s="1"/>
  <c r="I357" i="4" s="1"/>
  <c r="I358" i="4" s="1"/>
  <c r="I359" i="4" s="1"/>
  <c r="I360" i="4" s="1"/>
  <c r="I361" i="4" s="1"/>
  <c r="I362" i="4" s="1"/>
  <c r="D65" i="3" l="1"/>
  <c r="D66" i="3"/>
  <c r="D67" i="3"/>
  <c r="D68" i="3"/>
  <c r="D31" i="3"/>
  <c r="C69" i="3"/>
  <c r="D63" i="3"/>
  <c r="D69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<sst xmlns="http://schemas.openxmlformats.org/spreadsheetml/2006/main" count="87" uniqueCount="53">
  <si>
    <t>INVESTIMENTO MENSAL</t>
  </si>
  <si>
    <t>Salário</t>
  </si>
  <si>
    <t>Conservador</t>
  </si>
  <si>
    <t>Moderado</t>
  </si>
  <si>
    <t>Agressivo</t>
  </si>
  <si>
    <t>PERFIL</t>
  </si>
  <si>
    <t>PAPEL</t>
  </si>
  <si>
    <t>TIJOLO</t>
  </si>
  <si>
    <t>HÍBRIDOS</t>
  </si>
  <si>
    <t>FOFs</t>
  </si>
  <si>
    <t>DESENVOLVIMENTO</t>
  </si>
  <si>
    <t>HOTELARIAS</t>
  </si>
  <si>
    <t>CHAVE</t>
  </si>
  <si>
    <t>Quantos anos investir?</t>
  </si>
  <si>
    <t>Em 2 anos</t>
  </si>
  <si>
    <t>Em 5 anos</t>
  </si>
  <si>
    <t>Em 10 anos</t>
  </si>
  <si>
    <t>Em 20 anos</t>
  </si>
  <si>
    <t>Em 30 anos</t>
  </si>
  <si>
    <t>Dividendos</t>
  </si>
  <si>
    <t>CENÁRIOS</t>
  </si>
  <si>
    <t>Tempo</t>
  </si>
  <si>
    <t>PERSONALIZAÇÃO</t>
  </si>
  <si>
    <t>TIPO FII</t>
  </si>
  <si>
    <t>Escolha a porcentagem para investir</t>
  </si>
  <si>
    <t>Aporte mensal estimado</t>
  </si>
  <si>
    <t>Dividendos mensais</t>
  </si>
  <si>
    <t>Total</t>
  </si>
  <si>
    <t>Inflação média anual</t>
  </si>
  <si>
    <t>Perfil de investidor</t>
  </si>
  <si>
    <t>Sugestão de aporte</t>
  </si>
  <si>
    <t>Reinvestir dividendos?</t>
  </si>
  <si>
    <t>Sim</t>
  </si>
  <si>
    <t>Taxa nominal mensal</t>
  </si>
  <si>
    <t>Inflação estimada mensal</t>
  </si>
  <si>
    <t>TAXA REAL MENSAL</t>
  </si>
  <si>
    <t>Patrimônio real - descontado inflação</t>
  </si>
  <si>
    <t>Patrimônio nominal</t>
  </si>
  <si>
    <t>Tempo de investimento (anos)</t>
  </si>
  <si>
    <t>Patrimônio Nominal</t>
  </si>
  <si>
    <t>YIELD ESTIMADO</t>
  </si>
  <si>
    <t>% DO APORTE</t>
  </si>
  <si>
    <t>Mês</t>
  </si>
  <si>
    <t>Nominal (reinvest)</t>
  </si>
  <si>
    <t>Real (reinvest)</t>
  </si>
  <si>
    <t>Nominal (sem reinvest)</t>
  </si>
  <si>
    <t>Real (sem reinvest)</t>
  </si>
  <si>
    <t>Em 15 anos</t>
  </si>
  <si>
    <t>Visualizar no Gráfico (Anos):</t>
  </si>
  <si>
    <t>Tipo de FII</t>
  </si>
  <si>
    <t>Percentual sugerido</t>
  </si>
  <si>
    <t>Valores</t>
  </si>
  <si>
    <t>CARTEIRA RECOMENDADA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</si>
</sst>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  <numFmt numFmtId="165" formatCode="0.0%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Arial Narrow"/>
      <family val="2"/>
    </font>
    <font>
      <sz val="11"/>
      <color theme="1"/>
      <name val="Arial Narrow"/>
      <family val="2"/>
    </font>
    <font>
      <b/>
      <sz val="16"/>
      <color theme="0"/>
      <name val="Arial Narrow"/>
      <family val="2"/>
    </font>
    <font>
      <sz val="8"/>
      <color theme="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5">
    <xf numFmtId="0" fontId="0" fillId="0" borderId="0" xfId="0"/>
    <xf numFmtId="0" fontId="7" fillId="0" borderId="0" xfId="0" applyFont="1"/>
    <xf numFmtId="0" fontId="7" fillId="0" borderId="0" xfId="0" applyFont="1" applyBorder="1"/>
    <xf numFmtId="0" fontId="7" fillId="0" borderId="10" xfId="0" applyFont="1" applyBorder="1"/>
    <xf numFmtId="0" fontId="5" fillId="0" borderId="4" xfId="0" applyFont="1" applyBorder="1" applyAlignment="1">
      <alignment horizontal="left"/>
    </xf>
    <xf numFmtId="8" fontId="4" fillId="3" borderId="11" xfId="0" applyNumberFormat="1" applyFont="1" applyFill="1" applyBorder="1" applyAlignment="1">
      <alignment horizontal="right"/>
    </xf>
    <xf numFmtId="0" fontId="4" fillId="3" borderId="12" xfId="0" applyFont="1" applyFill="1" applyBorder="1" applyAlignment="1">
      <alignment horizontal="left"/>
    </xf>
    <xf numFmtId="8" fontId="4" fillId="3" borderId="13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5" xfId="0" applyBorder="1"/>
    <xf numFmtId="0" fontId="5" fillId="0" borderId="0" xfId="0" applyFont="1" applyBorder="1" applyAlignment="1">
      <alignment horizontal="left"/>
    </xf>
    <xf numFmtId="0" fontId="0" fillId="0" borderId="7" xfId="0" applyBorder="1"/>
    <xf numFmtId="0" fontId="9" fillId="0" borderId="0" xfId="0" applyFont="1"/>
    <xf numFmtId="164" fontId="6" fillId="7" borderId="13" xfId="1" applyNumberFormat="1" applyFont="1" applyFill="1" applyBorder="1" applyAlignment="1">
      <alignment horizontal="center"/>
    </xf>
    <xf numFmtId="0" fontId="6" fillId="7" borderId="13" xfId="2" applyNumberFormat="1" applyFont="1" applyFill="1" applyBorder="1" applyAlignment="1">
      <alignment horizontal="center"/>
    </xf>
    <xf numFmtId="165" fontId="6" fillId="7" borderId="13" xfId="2" applyNumberFormat="1" applyFont="1" applyFill="1" applyBorder="1" applyAlignment="1">
      <alignment horizontal="center"/>
    </xf>
    <xf numFmtId="164" fontId="7" fillId="0" borderId="0" xfId="0" applyNumberFormat="1" applyFont="1"/>
    <xf numFmtId="0" fontId="2" fillId="2" borderId="0" xfId="0" applyFont="1" applyFill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9" fontId="0" fillId="0" borderId="4" xfId="0" applyNumberForma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9" fontId="6" fillId="7" borderId="13" xfId="2" applyNumberFormat="1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8" fontId="4" fillId="3" borderId="13" xfId="0" applyNumberFormat="1" applyFont="1" applyFill="1" applyBorder="1" applyAlignment="1">
      <alignment horizontal="center"/>
    </xf>
    <xf numFmtId="10" fontId="4" fillId="3" borderId="20" xfId="0" applyNumberFormat="1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164" fontId="4" fillId="3" borderId="13" xfId="1" applyNumberFormat="1" applyFont="1" applyFill="1" applyBorder="1" applyAlignment="1">
      <alignment horizontal="center"/>
    </xf>
    <xf numFmtId="8" fontId="4" fillId="3" borderId="20" xfId="0" applyNumberFormat="1" applyFont="1" applyFill="1" applyBorder="1" applyAlignment="1">
      <alignment horizontal="center"/>
    </xf>
    <xf numFmtId="10" fontId="3" fillId="3" borderId="13" xfId="0" applyNumberFormat="1" applyFont="1" applyFill="1" applyBorder="1" applyAlignment="1">
      <alignment horizontal="center"/>
    </xf>
    <xf numFmtId="8" fontId="4" fillId="6" borderId="13" xfId="0" applyNumberFormat="1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3" xfId="1" applyNumberFormat="1" applyFont="1" applyFill="1" applyBorder="1" applyAlignment="1">
      <alignment horizontal="center"/>
    </xf>
    <xf numFmtId="10" fontId="0" fillId="0" borderId="6" xfId="2" applyNumberFormat="1" applyFont="1" applyBorder="1" applyAlignment="1">
      <alignment horizontal="center"/>
    </xf>
    <xf numFmtId="10" fontId="0" fillId="0" borderId="6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6" fillId="7" borderId="12" xfId="0" applyFont="1" applyFill="1" applyBorder="1" applyAlignment="1"/>
    <xf numFmtId="0" fontId="6" fillId="7" borderId="11" xfId="0" applyFont="1" applyFill="1" applyBorder="1" applyAlignment="1"/>
    <xf numFmtId="164" fontId="0" fillId="0" borderId="0" xfId="0" applyNumberFormat="1"/>
    <xf numFmtId="0" fontId="0" fillId="0" borderId="0" xfId="0" applyAlignment="1">
      <alignment horizontal="center"/>
    </xf>
    <xf numFmtId="0" fontId="9" fillId="0" borderId="0" xfId="0" applyFont="1" applyFill="1"/>
    <xf numFmtId="0" fontId="4" fillId="0" borderId="0" xfId="0" applyFont="1" applyFill="1" applyBorder="1" applyAlignment="1">
      <alignment horizontal="left"/>
    </xf>
    <xf numFmtId="8" fontId="4" fillId="0" borderId="0" xfId="0" applyNumberFormat="1" applyFont="1" applyFill="1" applyBorder="1" applyAlignment="1">
      <alignment horizontal="right"/>
    </xf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6" fillId="0" borderId="20" xfId="0" applyNumberFormat="1" applyFont="1" applyFill="1" applyBorder="1" applyAlignment="1">
      <alignment horizontal="center"/>
    </xf>
    <xf numFmtId="9" fontId="6" fillId="3" borderId="11" xfId="2" applyFont="1" applyFill="1" applyBorder="1"/>
    <xf numFmtId="0" fontId="4" fillId="3" borderId="13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left"/>
    </xf>
    <xf numFmtId="164" fontId="6" fillId="3" borderId="13" xfId="0" applyNumberFormat="1" applyFont="1" applyFill="1" applyBorder="1"/>
    <xf numFmtId="0" fontId="3" fillId="3" borderId="18" xfId="0" applyFont="1" applyFill="1" applyBorder="1"/>
    <xf numFmtId="9" fontId="3" fillId="3" borderId="19" xfId="0" applyNumberFormat="1" applyFont="1" applyFill="1" applyBorder="1"/>
    <xf numFmtId="164" fontId="3" fillId="3" borderId="20" xfId="0" applyNumberFormat="1" applyFont="1" applyFill="1" applyBorder="1"/>
    <xf numFmtId="0" fontId="8" fillId="5" borderId="21" xfId="0" applyFont="1" applyFill="1" applyBorder="1" applyAlignment="1">
      <alignment horizontal="center" vertical="center"/>
    </xf>
    <xf numFmtId="0" fontId="8" fillId="5" borderId="22" xfId="0" applyFont="1" applyFill="1" applyBorder="1" applyAlignment="1">
      <alignment horizontal="center" vertical="center"/>
    </xf>
    <xf numFmtId="0" fontId="8" fillId="5" borderId="23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left"/>
    </xf>
    <xf numFmtId="0" fontId="6" fillId="7" borderId="11" xfId="0" applyFont="1" applyFill="1" applyBorder="1" applyAlignment="1">
      <alignment horizontal="left"/>
    </xf>
    <xf numFmtId="0" fontId="8" fillId="4" borderId="21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8" fillId="4" borderId="2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left"/>
    </xf>
    <xf numFmtId="0" fontId="4" fillId="3" borderId="11" xfId="0" applyFont="1" applyFill="1" applyBorder="1" applyAlignment="1">
      <alignment horizontal="left"/>
    </xf>
    <xf numFmtId="0" fontId="4" fillId="6" borderId="12" xfId="0" applyFont="1" applyFill="1" applyBorder="1" applyAlignment="1">
      <alignment horizontal="left"/>
    </xf>
    <xf numFmtId="0" fontId="4" fillId="6" borderId="11" xfId="0" applyFont="1" applyFill="1" applyBorder="1" applyAlignment="1">
      <alignment horizontal="left"/>
    </xf>
    <xf numFmtId="0" fontId="4" fillId="3" borderId="18" xfId="0" applyFont="1" applyFill="1" applyBorder="1" applyAlignment="1">
      <alignment horizontal="left"/>
    </xf>
    <xf numFmtId="0" fontId="4" fillId="3" borderId="19" xfId="0" applyFont="1" applyFill="1" applyBorder="1" applyAlignment="1">
      <alignment horizontal="left"/>
    </xf>
    <xf numFmtId="0" fontId="8" fillId="4" borderId="15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6" fillId="7" borderId="12" xfId="0" applyFont="1" applyFill="1" applyBorder="1" applyAlignment="1"/>
    <xf numFmtId="0" fontId="6" fillId="7" borderId="11" xfId="0" applyFont="1" applyFill="1" applyBorder="1" applyAlignment="1"/>
    <xf numFmtId="0" fontId="6" fillId="0" borderId="12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3" fillId="3" borderId="12" xfId="0" applyFont="1" applyFill="1" applyBorder="1" applyAlignment="1"/>
    <xf numFmtId="0" fontId="3" fillId="3" borderId="11" xfId="0" applyFont="1" applyFill="1" applyBorder="1" applyAlignment="1"/>
    <xf numFmtId="0" fontId="3" fillId="3" borderId="12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left"/>
    </xf>
    <xf numFmtId="0" fontId="4" fillId="3" borderId="24" xfId="0" applyFont="1" applyFill="1" applyBorder="1" applyAlignment="1">
      <alignment horizontal="left"/>
    </xf>
    <xf numFmtId="0" fontId="4" fillId="3" borderId="25" xfId="0" applyFont="1" applyFill="1" applyBorder="1" applyAlignment="1">
      <alignment horizontal="left"/>
    </xf>
    <xf numFmtId="0" fontId="4" fillId="3" borderId="9" xfId="0" applyFont="1" applyFill="1" applyBorder="1" applyAlignment="1">
      <alignment horizontal="left"/>
    </xf>
    <xf numFmtId="0" fontId="4" fillId="3" borderId="14" xfId="0" applyFont="1" applyFill="1" applyBorder="1" applyAlignment="1">
      <alignment horizontal="left"/>
    </xf>
    <xf numFmtId="0" fontId="6" fillId="0" borderId="18" xfId="0" applyFont="1" applyFill="1" applyBorder="1" applyAlignment="1">
      <alignment horizontal="left"/>
    </xf>
    <xf numFmtId="0" fontId="6" fillId="0" borderId="19" xfId="0" applyFont="1" applyFill="1" applyBorder="1" applyAlignment="1">
      <alignment horizontal="left"/>
    </xf>
    <xf numFmtId="0" fontId="4" fillId="3" borderId="12" xfId="0" applyFont="1" applyFill="1" applyBorder="1" applyAlignment="1"/>
    <xf numFmtId="0" fontId="4" fillId="3" borderId="11" xfId="0" applyFont="1" applyFill="1" applyBorder="1" applyAlignment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Carteira recomendada</a:t>
            </a:r>
          </a:p>
        </c:rich>
      </c:tx>
      <c:layout>
        <c:manualLayout>
          <c:xMode val="edge"/>
          <c:yMode val="edge"/>
          <c:x val="1.861960051603721E-2"/>
          <c:y val="3.82043935052531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APP_INVEST!$C$62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BBC-44A2-8071-54F255DA67E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BBC-44A2-8071-54F255DA67E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BBC-44A2-8071-54F255DA67E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BBC-44A2-8071-54F255DA67E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BBC-44A2-8071-54F255DA67E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BBC-44A2-8071-54F255DA67E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APP_INVEST!$B$63:$B$68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APP_INVEST!$C$63:$C$68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DB-4645-A409-20E1AFB35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4895143654097551"/>
          <c:y val="0.11586873400084247"/>
          <c:w val="0.22640215114656187"/>
          <c:h val="0.76067447587570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 de cenários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AUXILIAR!$H$1</c:f>
              <c:strCache>
                <c:ptCount val="1"/>
                <c:pt idx="0">
                  <c:v>Nominal (reinvest)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[0]!Data_EixoX</c:f>
              <c:numCache>
                <c:formatCode>General</c:formatCode>
                <c:ptCount val="8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</c:numCache>
            </c:numRef>
          </c:cat>
          <c:val>
            <c:numRef>
              <c:f>[0]!Linha_Nominal_RE</c:f>
              <c:numCache>
                <c:formatCode>"R$"\ #,##0.00</c:formatCode>
                <c:ptCount val="85"/>
                <c:pt idx="0" formatCode="General">
                  <c:v>0</c:v>
                </c:pt>
                <c:pt idx="1">
                  <c:v>900</c:v>
                </c:pt>
                <c:pt idx="2">
                  <c:v>1808.4825000000001</c:v>
                </c:pt>
                <c:pt idx="3">
                  <c:v>2725.5274475625001</c:v>
                </c:pt>
                <c:pt idx="4">
                  <c:v>3651.2155437557767</c:v>
                </c:pt>
                <c:pt idx="5">
                  <c:v>4585.6282502556751</c:v>
                </c:pt>
                <c:pt idx="6">
                  <c:v>5528.8477965143347</c:v>
                </c:pt>
                <c:pt idx="7">
                  <c:v>6480.9571869964821</c:v>
                </c:pt>
                <c:pt idx="8">
                  <c:v>7442.0402084839243</c:v>
                </c:pt>
                <c:pt idx="9">
                  <c:v>8412.1814374488858</c:v>
                </c:pt>
                <c:pt idx="10">
                  <c:v>9391.4662474968409</c:v>
                </c:pt>
                <c:pt idx="11">
                  <c:v>10379.980816879499</c:v>
                </c:pt>
                <c:pt idx="12">
                  <c:v>11377.812136078588</c:v>
                </c:pt>
                <c:pt idx="13">
                  <c:v>12385.048015461129</c:v>
                </c:pt>
                <c:pt idx="14">
                  <c:v>13401.777093006851</c:v>
                </c:pt>
                <c:pt idx="15">
                  <c:v>14428.08884210844</c:v>
                </c:pt>
                <c:pt idx="16">
                  <c:v>15464.073579445312</c:v>
                </c:pt>
                <c:pt idx="17">
                  <c:v>16509.822472931584</c:v>
                </c:pt>
                <c:pt idx="18">
                  <c:v>17565.427549738964</c:v>
                </c:pt>
                <c:pt idx="19">
                  <c:v>18630.981704395253</c:v>
                </c:pt>
                <c:pt idx="20">
                  <c:v>19706.578706959179</c:v>
                </c:pt>
                <c:pt idx="21">
                  <c:v>20792.313211272271</c:v>
                </c:pt>
                <c:pt idx="22">
                  <c:v>21888.280763288512</c:v>
                </c:pt>
                <c:pt idx="23">
                  <c:v>22994.577809482507</c:v>
                </c:pt>
                <c:pt idx="24">
                  <c:v>24111.301705336879</c:v>
                </c:pt>
                <c:pt idx="25">
                  <c:v>25238.550723909681</c:v>
                </c:pt>
                <c:pt idx="26">
                  <c:v>26376.42406448253</c:v>
                </c:pt>
                <c:pt idx="27">
                  <c:v>27525.021861290279</c:v>
                </c:pt>
                <c:pt idx="28">
                  <c:v>28684.44519233294</c:v>
                </c:pt>
                <c:pt idx="29">
                  <c:v>29854.796088270679</c:v>
                </c:pt>
                <c:pt idx="30">
                  <c:v>31036.177541402631</c:v>
                </c:pt>
                <c:pt idx="31">
                  <c:v>32228.693514730352</c:v>
                </c:pt>
                <c:pt idx="32">
                  <c:v>33432.448951106686</c:v>
                </c:pt>
                <c:pt idx="33">
                  <c:v>34647.549782470865</c:v>
                </c:pt>
                <c:pt idx="34">
                  <c:v>35874.102939170654</c:v>
                </c:pt>
                <c:pt idx="35">
                  <c:v>37112.216359372338</c:v>
                </c:pt>
                <c:pt idx="36">
                  <c:v>38361.998998559422</c:v>
                </c:pt>
                <c:pt idx="37">
                  <c:v>39623.560839120844</c:v>
                </c:pt>
                <c:pt idx="38">
                  <c:v>40897.012900029556</c:v>
                </c:pt>
                <c:pt idx="39">
                  <c:v>42182.467246612337</c:v>
                </c:pt>
                <c:pt idx="40">
                  <c:v>43480.037000411663</c:v>
                </c:pt>
                <c:pt idx="41">
                  <c:v>44789.836349140547</c:v>
                </c:pt>
                <c:pt idx="42">
                  <c:v>46111.9805567312</c:v>
                </c:pt>
                <c:pt idx="43">
                  <c:v>47446.585973478395</c:v>
                </c:pt>
                <c:pt idx="44">
                  <c:v>48793.770046278427</c:v>
                </c:pt>
                <c:pt idx="45">
                  <c:v>50153.651328964603</c:v>
                </c:pt>
                <c:pt idx="46">
                  <c:v>51526.349492740097</c:v>
                </c:pt>
                <c:pt idx="47">
                  <c:v>52911.985336709171</c:v>
                </c:pt>
                <c:pt idx="48">
                  <c:v>54310.680798507659</c:v>
                </c:pt>
                <c:pt idx="49">
                  <c:v>55722.558965033597</c:v>
                </c:pt>
                <c:pt idx="50">
                  <c:v>57147.744083279038</c:v>
                </c:pt>
                <c:pt idx="51">
                  <c:v>58586.361571263944</c:v>
                </c:pt>
                <c:pt idx="52">
                  <c:v>60038.538029073105</c:v>
                </c:pt>
                <c:pt idx="53">
                  <c:v>61504.401249997121</c:v>
                </c:pt>
                <c:pt idx="54">
                  <c:v>62984.080231778345</c:v>
                </c:pt>
                <c:pt idx="55">
                  <c:v>64477.705187962856</c:v>
                </c:pt>
                <c:pt idx="56">
                  <c:v>65985.407559359417</c:v>
                </c:pt>
                <c:pt idx="57">
                  <c:v>67507.320025606386</c:v>
                </c:pt>
                <c:pt idx="58">
                  <c:v>69043.576516847723</c:v>
                </c:pt>
                <c:pt idx="59">
                  <c:v>70594.31222551901</c:v>
                </c:pt>
                <c:pt idx="60">
                  <c:v>72159.663618244522</c:v>
                </c:pt>
                <c:pt idx="61">
                  <c:v>73739.76844784648</c:v>
                </c:pt>
                <c:pt idx="62">
                  <c:v>75334.76576546744</c:v>
                </c:pt>
                <c:pt idx="63">
                  <c:v>76944.79593280697</c:v>
                </c:pt>
                <c:pt idx="64">
                  <c:v>78570.000634473676</c:v>
                </c:pt>
                <c:pt idx="65">
                  <c:v>80210.522890453591</c:v>
                </c:pt>
                <c:pt idx="66">
                  <c:v>81866.507068696112</c:v>
                </c:pt>
                <c:pt idx="67">
                  <c:v>83538.098897818578</c:v>
                </c:pt>
                <c:pt idx="68">
                  <c:v>85225.445479930524</c:v>
                </c:pt>
                <c:pt idx="69">
                  <c:v>86928.695303578876</c:v>
                </c:pt>
                <c:pt idx="70">
                  <c:v>88647.998256815103</c:v>
                </c:pt>
                <c:pt idx="71">
                  <c:v>90383.505640385585</c:v>
                </c:pt>
                <c:pt idx="72">
                  <c:v>92135.370181046223</c:v>
                </c:pt>
                <c:pt idx="73">
                  <c:v>93903.746045002583</c:v>
                </c:pt>
                <c:pt idx="74">
                  <c:v>95688.78885147674</c:v>
                </c:pt>
                <c:pt idx="75">
                  <c:v>97490.655686401908</c:v>
                </c:pt>
                <c:pt idx="76">
                  <c:v>99309.505116246248</c:v>
                </c:pt>
                <c:pt idx="77">
                  <c:v>101145.49720196686</c:v>
                </c:pt>
                <c:pt idx="78">
                  <c:v>102998.7935130954</c:v>
                </c:pt>
                <c:pt idx="79">
                  <c:v>104869.55714195632</c:v>
                </c:pt>
                <c:pt idx="80">
                  <c:v>106757.95271801927</c:v>
                </c:pt>
                <c:pt idx="81">
                  <c:v>108664.14642238661</c:v>
                </c:pt>
                <c:pt idx="82">
                  <c:v>110588.30600241761</c:v>
                </c:pt>
                <c:pt idx="83">
                  <c:v>112530.60078649039</c:v>
                </c:pt>
                <c:pt idx="84">
                  <c:v>114491.20169890307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3C-479D-BB10-D3C9701E092C}"/>
            </c:ext>
          </c:extLst>
        </c:ser>
        <c:ser>
          <c:idx val="2"/>
          <c:order val="2"/>
          <c:tx>
            <c:strRef>
              <c:f>AUXILIAR!$I$1</c:f>
              <c:strCache>
                <c:ptCount val="1"/>
                <c:pt idx="0">
                  <c:v>Real (reinvest)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[0]!Data_EixoX</c:f>
              <c:numCache>
                <c:formatCode>General</c:formatCode>
                <c:ptCount val="8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</c:numCache>
            </c:numRef>
          </c:cat>
          <c:val>
            <c:numRef>
              <c:f>[0]!Linha_Real_RE</c:f>
              <c:numCache>
                <c:formatCode>"R$"\ #,##0.00</c:formatCode>
                <c:ptCount val="85"/>
                <c:pt idx="0" formatCode="General">
                  <c:v>0</c:v>
                </c:pt>
                <c:pt idx="1">
                  <c:v>900</c:v>
                </c:pt>
                <c:pt idx="2">
                  <c:v>1805.5180694724679</c:v>
                </c:pt>
                <c:pt idx="3">
                  <c:v>2716.5880407404075</c:v>
                </c:pt>
                <c:pt idx="4">
                  <c:v>3633.2439535591643</c:v>
                </c:pt>
                <c:pt idx="5">
                  <c:v>4555.5200563882354</c:v>
                </c:pt>
                <c:pt idx="6">
                  <c:v>5483.4508076708707</c:v>
                </c:pt>
                <c:pt idx="7">
                  <c:v>6417.0708771215241</c:v>
                </c:pt>
                <c:pt idx="8">
                  <c:v>7356.4151470211991</c:v>
                </c:pt>
                <c:pt idx="9">
                  <c:v>8301.5187135207307</c:v>
                </c:pt>
                <c:pt idx="10">
                  <c:v>9252.4168879520639</c:v>
                </c:pt>
                <c:pt idx="11">
                  <c:v>10209.145198147569</c:v>
                </c:pt>
                <c:pt idx="12">
                  <c:v>11171.739389767448</c:v>
                </c:pt>
                <c:pt idx="13">
                  <c:v>12140.235427635274</c:v>
                </c:pt>
                <c:pt idx="14">
                  <c:v>13114.669497081728</c:v>
                </c:pt>
                <c:pt idx="15">
                  <c:v>14095.078005296566</c:v>
                </c:pt>
                <c:pt idx="16">
                  <c:v>15081.497582688879</c:v>
                </c:pt>
                <c:pt idx="17">
                  <c:v>16073.965084255695</c:v>
                </c:pt>
                <c:pt idx="18">
                  <c:v>17072.517590958967</c:v>
                </c:pt>
                <c:pt idx="19">
                  <c:v>18077.192411111013</c:v>
                </c:pt>
                <c:pt idx="20">
                  <c:v>19088.027081768436</c:v>
                </c:pt>
                <c:pt idx="21">
                  <c:v>20105.059370134601</c:v>
                </c:pt>
                <c:pt idx="22">
                  <c:v>21128.327274970707</c:v>
                </c:pt>
                <c:pt idx="23">
                  <c:v>22157.869028015517</c:v>
                </c:pt>
                <c:pt idx="24">
                  <c:v>23193.723095413778</c:v>
                </c:pt>
                <c:pt idx="25">
                  <c:v>24235.928179153419</c:v>
                </c:pt>
                <c:pt idx="26">
                  <c:v>25284.523218511546</c:v>
                </c:pt>
                <c:pt idx="27">
                  <c:v>26339.547391509295</c:v>
                </c:pt>
                <c:pt idx="28">
                  <c:v>27401.04011637564</c:v>
                </c:pt>
                <c:pt idx="29">
                  <c:v>28469.04105302013</c:v>
                </c:pt>
                <c:pt idx="30">
                  <c:v>29543.590104514693</c:v>
                </c:pt>
                <c:pt idx="31">
                  <c:v>30624.727418584502</c:v>
                </c:pt>
                <c:pt idx="32">
                  <c:v>31712.493389107996</c:v>
                </c:pt>
                <c:pt idx="33">
                  <c:v>32806.928657626086</c:v>
                </c:pt>
                <c:pt idx="34">
                  <c:v>33908.074114860618</c:v>
                </c:pt>
                <c:pt idx="35">
                  <c:v>35015.970902242167</c:v>
                </c:pt>
                <c:pt idx="36">
                  <c:v>36130.660413447156</c:v>
                </c:pt>
                <c:pt idx="37">
                  <c:v>37252.184295944433</c:v>
                </c:pt>
                <c:pt idx="38">
                  <c:v>38380.584452551324</c:v>
                </c:pt>
                <c:pt idx="39">
                  <c:v>39515.903042999213</c:v>
                </c:pt>
                <c:pt idx="40">
                  <c:v>40658.18248550874</c:v>
                </c:pt>
                <c:pt idx="41">
                  <c:v>41807.465458374645</c:v>
                </c:pt>
                <c:pt idx="42">
                  <c:v>42963.79490156033</c:v>
                </c:pt>
                <c:pt idx="43">
                  <c:v>44127.214018302191</c:v>
                </c:pt>
                <c:pt idx="44">
                  <c:v>45297.766276723807</c:v>
                </c:pt>
                <c:pt idx="45">
                  <c:v>46475.495411460004</c:v>
                </c:pt>
                <c:pt idx="46">
                  <c:v>47660.445425290898</c:v>
                </c:pt>
                <c:pt idx="47">
                  <c:v>48852.660590785927</c:v>
                </c:pt>
                <c:pt idx="48">
                  <c:v>50052.185451957987</c:v>
                </c:pt>
                <c:pt idx="49">
                  <c:v>51259.064825927715</c:v>
                </c:pt>
                <c:pt idx="50">
                  <c:v>52473.343804597949</c:v>
                </c:pt>
                <c:pt idx="51">
                  <c:v>53695.067756338467</c:v>
                </c:pt>
                <c:pt idx="52">
                  <c:v>54924.282327681081</c:v>
                </c:pt>
                <c:pt idx="53">
                  <c:v>56161.033445025067</c:v>
                </c:pt>
                <c:pt idx="54">
                  <c:v>57405.367316353113</c:v>
                </c:pt>
                <c:pt idx="55">
                  <c:v>58657.330432957759</c:v>
                </c:pt>
                <c:pt idx="56">
                  <c:v>59916.969571178393</c:v>
                </c:pt>
                <c:pt idx="57">
                  <c:v>61184.331794148959</c:v>
                </c:pt>
                <c:pt idx="58">
                  <c:v>62459.464453556342</c:v>
                </c:pt>
                <c:pt idx="59">
                  <c:v>63742.415191409527</c:v>
                </c:pt>
                <c:pt idx="60">
                  <c:v>65033.231941819635</c:v>
                </c:pt>
                <c:pt idx="61">
                  <c:v>66331.962932790833</c:v>
                </c:pt>
                <c:pt idx="62">
                  <c:v>67638.656688022282</c:v>
                </c:pt>
                <c:pt idx="63">
                  <c:v>68953.36202872108</c:v>
                </c:pt>
                <c:pt idx="64">
                  <c:v>70276.128075426328</c:v>
                </c:pt>
                <c:pt idx="65">
                  <c:v>71607.004249844395</c:v>
                </c:pt>
                <c:pt idx="66">
                  <c:v>72946.04027669545</c:v>
                </c:pt>
                <c:pt idx="67">
                  <c:v>74293.286185571284</c:v>
                </c:pt>
                <c:pt idx="68">
                  <c:v>75648.792312804537</c:v>
                </c:pt>
                <c:pt idx="69">
                  <c:v>77012.609303349382</c:v>
                </c:pt>
                <c:pt idx="70">
                  <c:v>78384.788112673734</c:v>
                </c:pt>
                <c:pt idx="71">
                  <c:v>79765.38000866308</c:v>
                </c:pt>
                <c:pt idx="72">
                  <c:v>81154.436573535975</c:v>
                </c:pt>
                <c:pt idx="73">
                  <c:v>82552.00970577127</c:v>
                </c:pt>
                <c:pt idx="74">
                  <c:v>83958.151622047153</c:v>
                </c:pt>
                <c:pt idx="75">
                  <c:v>85372.914859192097</c:v>
                </c:pt>
                <c:pt idx="76">
                  <c:v>86796.35227614778</c:v>
                </c:pt>
                <c:pt idx="77">
                  <c:v>88228.517055943987</c:v>
                </c:pt>
                <c:pt idx="78">
                  <c:v>89669.462707685685</c:v>
                </c:pt>
                <c:pt idx="79">
                  <c:v>91119.243068552227</c:v>
                </c:pt>
                <c:pt idx="80">
                  <c:v>92577.912305808859</c:v>
                </c:pt>
                <c:pt idx="81">
                  <c:v>94045.524918830532</c:v>
                </c:pt>
                <c:pt idx="82">
                  <c:v>95522.135741138118</c:v>
                </c:pt>
                <c:pt idx="83">
                  <c:v>97007.799942447135</c:v>
                </c:pt>
                <c:pt idx="84">
                  <c:v>98502.573030729021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3C-479D-BB10-D3C9701E092C}"/>
            </c:ext>
          </c:extLst>
        </c:ser>
        <c:ser>
          <c:idx val="3"/>
          <c:order val="3"/>
          <c:tx>
            <c:strRef>
              <c:f>AUXILIAR!$J$1</c:f>
              <c:strCache>
                <c:ptCount val="1"/>
                <c:pt idx="0">
                  <c:v>Nominal (sem reinvest)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[0]!Data_EixoX</c:f>
              <c:numCache>
                <c:formatCode>General</c:formatCode>
                <c:ptCount val="8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</c:numCache>
            </c:numRef>
          </c:cat>
          <c:val>
            <c:numRef>
              <c:f>[0]!Linha_Nominal_SR</c:f>
              <c:numCache>
                <c:formatCode>"R$"\ #,##0.00</c:formatCode>
                <c:ptCount val="85"/>
                <c:pt idx="0" formatCode="General">
                  <c:v>0</c:v>
                </c:pt>
                <c:pt idx="1">
                  <c:v>900</c:v>
                </c:pt>
                <c:pt idx="2">
                  <c:v>1800</c:v>
                </c:pt>
                <c:pt idx="3">
                  <c:v>2700</c:v>
                </c:pt>
                <c:pt idx="4">
                  <c:v>3600</c:v>
                </c:pt>
                <c:pt idx="5">
                  <c:v>4500</c:v>
                </c:pt>
                <c:pt idx="6">
                  <c:v>5400</c:v>
                </c:pt>
                <c:pt idx="7">
                  <c:v>6300</c:v>
                </c:pt>
                <c:pt idx="8">
                  <c:v>7200</c:v>
                </c:pt>
                <c:pt idx="9">
                  <c:v>8100</c:v>
                </c:pt>
                <c:pt idx="10">
                  <c:v>9000</c:v>
                </c:pt>
                <c:pt idx="11">
                  <c:v>9900</c:v>
                </c:pt>
                <c:pt idx="12">
                  <c:v>10800</c:v>
                </c:pt>
                <c:pt idx="13">
                  <c:v>11700</c:v>
                </c:pt>
                <c:pt idx="14">
                  <c:v>12600</c:v>
                </c:pt>
                <c:pt idx="15">
                  <c:v>13500</c:v>
                </c:pt>
                <c:pt idx="16">
                  <c:v>14400</c:v>
                </c:pt>
                <c:pt idx="17">
                  <c:v>15300</c:v>
                </c:pt>
                <c:pt idx="18">
                  <c:v>16200</c:v>
                </c:pt>
                <c:pt idx="19">
                  <c:v>17100</c:v>
                </c:pt>
                <c:pt idx="20">
                  <c:v>18000</c:v>
                </c:pt>
                <c:pt idx="21">
                  <c:v>18900</c:v>
                </c:pt>
                <c:pt idx="22">
                  <c:v>19800</c:v>
                </c:pt>
                <c:pt idx="23">
                  <c:v>20700</c:v>
                </c:pt>
                <c:pt idx="24">
                  <c:v>21600</c:v>
                </c:pt>
                <c:pt idx="25">
                  <c:v>22500</c:v>
                </c:pt>
                <c:pt idx="26">
                  <c:v>23400</c:v>
                </c:pt>
                <c:pt idx="27">
                  <c:v>24300</c:v>
                </c:pt>
                <c:pt idx="28">
                  <c:v>25200</c:v>
                </c:pt>
                <c:pt idx="29">
                  <c:v>26100</c:v>
                </c:pt>
                <c:pt idx="30">
                  <c:v>27000</c:v>
                </c:pt>
                <c:pt idx="31">
                  <c:v>27900</c:v>
                </c:pt>
                <c:pt idx="32">
                  <c:v>28800</c:v>
                </c:pt>
                <c:pt idx="33">
                  <c:v>29700</c:v>
                </c:pt>
                <c:pt idx="34">
                  <c:v>30600</c:v>
                </c:pt>
                <c:pt idx="35">
                  <c:v>31500</c:v>
                </c:pt>
                <c:pt idx="36">
                  <c:v>32400</c:v>
                </c:pt>
                <c:pt idx="37">
                  <c:v>33300</c:v>
                </c:pt>
                <c:pt idx="38">
                  <c:v>34200</c:v>
                </c:pt>
                <c:pt idx="39">
                  <c:v>35100</c:v>
                </c:pt>
                <c:pt idx="40">
                  <c:v>36000</c:v>
                </c:pt>
                <c:pt idx="41">
                  <c:v>36900</c:v>
                </c:pt>
                <c:pt idx="42">
                  <c:v>37800</c:v>
                </c:pt>
                <c:pt idx="43">
                  <c:v>38700</c:v>
                </c:pt>
                <c:pt idx="44">
                  <c:v>39600</c:v>
                </c:pt>
                <c:pt idx="45">
                  <c:v>40500</c:v>
                </c:pt>
                <c:pt idx="46">
                  <c:v>41400</c:v>
                </c:pt>
                <c:pt idx="47">
                  <c:v>42300</c:v>
                </c:pt>
                <c:pt idx="48">
                  <c:v>43200</c:v>
                </c:pt>
                <c:pt idx="49">
                  <c:v>44100</c:v>
                </c:pt>
                <c:pt idx="50">
                  <c:v>45000</c:v>
                </c:pt>
                <c:pt idx="51">
                  <c:v>45900</c:v>
                </c:pt>
                <c:pt idx="52">
                  <c:v>46800</c:v>
                </c:pt>
                <c:pt idx="53">
                  <c:v>47700</c:v>
                </c:pt>
                <c:pt idx="54">
                  <c:v>48600</c:v>
                </c:pt>
                <c:pt idx="55">
                  <c:v>49500</c:v>
                </c:pt>
                <c:pt idx="56">
                  <c:v>50400</c:v>
                </c:pt>
                <c:pt idx="57">
                  <c:v>51300</c:v>
                </c:pt>
                <c:pt idx="58">
                  <c:v>52200</c:v>
                </c:pt>
                <c:pt idx="59">
                  <c:v>53100</c:v>
                </c:pt>
                <c:pt idx="60">
                  <c:v>54000</c:v>
                </c:pt>
                <c:pt idx="61">
                  <c:v>54900</c:v>
                </c:pt>
                <c:pt idx="62">
                  <c:v>55800</c:v>
                </c:pt>
                <c:pt idx="63">
                  <c:v>56700</c:v>
                </c:pt>
                <c:pt idx="64">
                  <c:v>57600</c:v>
                </c:pt>
                <c:pt idx="65">
                  <c:v>58500</c:v>
                </c:pt>
                <c:pt idx="66">
                  <c:v>59400</c:v>
                </c:pt>
                <c:pt idx="67">
                  <c:v>60300</c:v>
                </c:pt>
                <c:pt idx="68">
                  <c:v>61200</c:v>
                </c:pt>
                <c:pt idx="69">
                  <c:v>62100</c:v>
                </c:pt>
                <c:pt idx="70">
                  <c:v>63000</c:v>
                </c:pt>
                <c:pt idx="71">
                  <c:v>63900</c:v>
                </c:pt>
                <c:pt idx="72">
                  <c:v>64800</c:v>
                </c:pt>
                <c:pt idx="73">
                  <c:v>65700</c:v>
                </c:pt>
                <c:pt idx="74">
                  <c:v>66600</c:v>
                </c:pt>
                <c:pt idx="75">
                  <c:v>67500</c:v>
                </c:pt>
                <c:pt idx="76">
                  <c:v>68400</c:v>
                </c:pt>
                <c:pt idx="77">
                  <c:v>69300</c:v>
                </c:pt>
                <c:pt idx="78">
                  <c:v>70200</c:v>
                </c:pt>
                <c:pt idx="79">
                  <c:v>71100</c:v>
                </c:pt>
                <c:pt idx="80">
                  <c:v>72000</c:v>
                </c:pt>
                <c:pt idx="81">
                  <c:v>72900</c:v>
                </c:pt>
                <c:pt idx="82">
                  <c:v>73800</c:v>
                </c:pt>
                <c:pt idx="83">
                  <c:v>74700</c:v>
                </c:pt>
                <c:pt idx="84">
                  <c:v>75600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3C-479D-BB10-D3C9701E092C}"/>
            </c:ext>
          </c:extLst>
        </c:ser>
        <c:ser>
          <c:idx val="4"/>
          <c:order val="4"/>
          <c:tx>
            <c:strRef>
              <c:f>AUXILIAR!$K$1</c:f>
              <c:strCache>
                <c:ptCount val="1"/>
                <c:pt idx="0">
                  <c:v>Real (sem reinvest)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[0]!Data_EixoX</c:f>
              <c:numCache>
                <c:formatCode>General</c:formatCode>
                <c:ptCount val="8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</c:numCache>
            </c:numRef>
          </c:cat>
          <c:val>
            <c:numRef>
              <c:f>[0]!Linha_Real_SR</c:f>
              <c:numCache>
                <c:formatCode>"R$"\ #,##0.00</c:formatCode>
                <c:ptCount val="85"/>
                <c:pt idx="0" formatCode="General">
                  <c:v>0</c:v>
                </c:pt>
                <c:pt idx="1">
                  <c:v>897.06324835670603</c:v>
                </c:pt>
                <c:pt idx="2">
                  <c:v>1788.2721590050785</c:v>
                </c:pt>
                <c:pt idx="3">
                  <c:v>2673.6553865049259</c:v>
                </c:pt>
                <c:pt idx="4">
                  <c:v>3553.2414607474275</c:v>
                </c:pt>
                <c:pt idx="5">
                  <c:v>4427.0587874636312</c:v>
                </c:pt>
                <c:pt idx="6">
                  <c:v>5295.1356487309677</c:v>
                </c:pt>
                <c:pt idx="7">
                  <c:v>6157.5002034777717</c:v>
                </c:pt>
                <c:pt idx="8">
                  <c:v>7014.18048798584</c:v>
                </c:pt>
                <c:pt idx="9">
                  <c:v>7865.2044163910041</c:v>
                </c:pt>
                <c:pt idx="10">
                  <c:v>8710.5997811817597</c:v>
                </c:pt>
                <c:pt idx="11">
                  <c:v>9550.3942536959257</c:v>
                </c:pt>
                <c:pt idx="12">
                  <c:v>10384.615384615379</c:v>
                </c:pt>
                <c:pt idx="13">
                  <c:v>11213.29060445882</c:v>
                </c:pt>
                <c:pt idx="14">
                  <c:v>12036.447224072637</c:v>
                </c:pt>
                <c:pt idx="15">
                  <c:v>12854.11243511983</c:v>
                </c:pt>
                <c:pt idx="16">
                  <c:v>13666.313310567022</c:v>
                </c:pt>
                <c:pt idx="17">
                  <c:v>14473.076805169556</c:v>
                </c:pt>
                <c:pt idx="18">
                  <c:v>15274.429755954707</c:v>
                </c:pt>
                <c:pt idx="19">
                  <c:v>16070.39888270297</c:v>
                </c:pt>
                <c:pt idx="20">
                  <c:v>16861.010788427491</c:v>
                </c:pt>
                <c:pt idx="21">
                  <c:v>17646.291959851605</c:v>
                </c:pt>
                <c:pt idx="22">
                  <c:v>18426.268767884481</c:v>
                </c:pt>
                <c:pt idx="23">
                  <c:v>19200.967468094947</c:v>
                </c:pt>
                <c:pt idx="24">
                  <c:v>19970.414201183408</c:v>
                </c:pt>
                <c:pt idx="25">
                  <c:v>20734.634993451949</c:v>
                </c:pt>
                <c:pt idx="26">
                  <c:v>21493.655757272558</c:v>
                </c:pt>
                <c:pt idx="27">
                  <c:v>22247.502291553537</c:v>
                </c:pt>
                <c:pt idx="28">
                  <c:v>22996.200282204114</c:v>
                </c:pt>
                <c:pt idx="29">
                  <c:v>23739.775302597111</c:v>
                </c:pt>
                <c:pt idx="30">
                  <c:v>24478.252814029962</c:v>
                </c:pt>
                <c:pt idx="31">
                  <c:v>25211.658166183792</c:v>
                </c:pt>
                <c:pt idx="32">
                  <c:v>25940.016597580739</c:v>
                </c:pt>
                <c:pt idx="33">
                  <c:v>26663.353236039497</c:v>
                </c:pt>
                <c:pt idx="34">
                  <c:v>27381.693099129025</c:v>
                </c:pt>
                <c:pt idx="35">
                  <c:v>28095.06109462052</c:v>
                </c:pt>
                <c:pt idx="36">
                  <c:v>28803.482020937594</c:v>
                </c:pt>
                <c:pt idx="37">
                  <c:v>29506.980567604682</c:v>
                </c:pt>
                <c:pt idx="38">
                  <c:v>30205.58131569366</c:v>
                </c:pt>
                <c:pt idx="39">
                  <c:v>30899.308738268788</c:v>
                </c:pt>
                <c:pt idx="40">
                  <c:v>31588.187200829805</c:v>
                </c:pt>
                <c:pt idx="41">
                  <c:v>32272.240961753349</c:v>
                </c:pt>
                <c:pt idx="42">
                  <c:v>32951.49417273263</c:v>
                </c:pt>
                <c:pt idx="43">
                  <c:v>33625.970879215332</c:v>
                </c:pt>
                <c:pt idx="44">
                  <c:v>34295.695020839907</c:v>
                </c:pt>
                <c:pt idx="45">
                  <c:v>34960.690431869953</c:v>
                </c:pt>
                <c:pt idx="46">
                  <c:v>35620.980841627097</c:v>
                </c:pt>
                <c:pt idx="47">
                  <c:v>36276.589874922072</c:v>
                </c:pt>
                <c:pt idx="48">
                  <c:v>36927.541052484077</c:v>
                </c:pt>
                <c:pt idx="49">
                  <c:v>37573.857791388473</c:v>
                </c:pt>
                <c:pt idx="50">
                  <c:v>38215.563405482855</c:v>
                </c:pt>
                <c:pt idx="51">
                  <c:v>38852.681105811331</c:v>
                </c:pt>
                <c:pt idx="52">
                  <c:v>39485.234001037235</c:v>
                </c:pt>
                <c:pt idx="53">
                  <c:v>40113.245097864135</c:v>
                </c:pt>
                <c:pt idx="54">
                  <c:v>40736.737301455141</c:v>
                </c:pt>
                <c:pt idx="55">
                  <c:v>41355.733415850686</c:v>
                </c:pt>
                <c:pt idx="56">
                  <c:v>41970.256144384475</c:v>
                </c:pt>
                <c:pt idx="57">
                  <c:v>42580.328090097988</c:v>
                </c:pt>
                <c:pt idx="58">
                  <c:v>43185.971756153238</c:v>
                </c:pt>
                <c:pt idx="59">
                  <c:v>43787.209546243881</c:v>
                </c:pt>
                <c:pt idx="60">
                  <c:v>44384.063765004888</c:v>
                </c:pt>
                <c:pt idx="61">
                  <c:v>44976.556618420247</c:v>
                </c:pt>
                <c:pt idx="62">
                  <c:v>45564.710214229526</c:v>
                </c:pt>
                <c:pt idx="63">
                  <c:v>46148.546562332427</c:v>
                </c:pt>
                <c:pt idx="64">
                  <c:v>46728.087575191974</c:v>
                </c:pt>
                <c:pt idx="65">
                  <c:v>47303.355068235978</c:v>
                </c:pt>
                <c:pt idx="66">
                  <c:v>47874.370760257094</c:v>
                </c:pt>
                <c:pt idx="67">
                  <c:v>48441.156273811095</c:v>
                </c:pt>
                <c:pt idx="68">
                  <c:v>49003.733135613722</c:v>
                </c:pt>
                <c:pt idx="69">
                  <c:v>49562.122776935903</c:v>
                </c:pt>
                <c:pt idx="70">
                  <c:v>50116.346533997428</c:v>
                </c:pt>
                <c:pt idx="71">
                  <c:v>50666.425648359109</c:v>
                </c:pt>
                <c:pt idx="72">
                  <c:v>51212.3812673133</c:v>
                </c:pt>
                <c:pt idx="73">
                  <c:v>51754.234444272959</c:v>
                </c:pt>
                <c:pt idx="74">
                  <c:v>52292.006139159181</c:v>
                </c:pt>
                <c:pt idx="75">
                  <c:v>52825.717218787096</c:v>
                </c:pt>
                <c:pt idx="76">
                  <c:v>53355.388457250418</c:v>
                </c:pt>
                <c:pt idx="77">
                  <c:v>53881.040536304274</c:v>
                </c:pt>
                <c:pt idx="78">
                  <c:v>54402.694045746663</c:v>
                </c:pt>
                <c:pt idx="79">
                  <c:v>54920.369483798429</c:v>
                </c:pt>
                <c:pt idx="80">
                  <c:v>55434.087257481551</c:v>
                </c:pt>
                <c:pt idx="81">
                  <c:v>55943.867682996177</c:v>
                </c:pt>
                <c:pt idx="82">
                  <c:v>56449.730986095979</c:v>
                </c:pt>
                <c:pt idx="83">
                  <c:v>56951.697302462133</c:v>
                </c:pt>
                <c:pt idx="84">
                  <c:v>57449.786678075776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33C-479D-BB10-D3C9701E0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5759759"/>
        <c:axId val="42576167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AUXILIAR!$G$1</c15:sqref>
                        </c15:formulaRef>
                      </c:ext>
                    </c:extLst>
                    <c:strCache>
                      <c:ptCount val="1"/>
                      <c:pt idx="0">
                        <c:v>Mês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[0]!Data_EixoX</c15:sqref>
                        </c15:formulaRef>
                      </c:ext>
                    </c:extLst>
                    <c:numCache>
                      <c:formatCode>General</c:formatCode>
                      <c:ptCount val="85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AUXILIAR!$G$2:$G$362</c15:sqref>
                        </c15:formulaRef>
                      </c:ext>
                    </c:extLst>
                    <c:numCache>
                      <c:formatCode>General</c:formatCode>
                      <c:ptCount val="36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233C-479D-BB10-D3C9701E092C}"/>
                  </c:ext>
                </c:extLst>
              </c15:ser>
            </c15:filteredLineSeries>
          </c:ext>
        </c:extLst>
      </c:lineChart>
      <c:catAx>
        <c:axId val="42575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5761679"/>
        <c:crosses val="autoZero"/>
        <c:auto val="1"/>
        <c:lblAlgn val="ctr"/>
        <c:lblOffset val="100"/>
        <c:noMultiLvlLbl val="0"/>
      </c:catAx>
      <c:valAx>
        <c:axId val="42576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575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Mês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AUXILIAR!$G$2:$G$362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58-40DF-9F22-4024EE1FF3A7}"/>
            </c:ext>
          </c:extLst>
        </c:ser>
        <c:ser>
          <c:idx val="1"/>
          <c:order val="1"/>
          <c:tx>
            <c:strRef>
              <c:f>AUXILIAR!$H$1</c:f>
              <c:strCache>
                <c:ptCount val="1"/>
                <c:pt idx="0">
                  <c:v>Nominal (reinvest)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AUXILIAR!$H$2:$H$362</c:f>
              <c:numCache>
                <c:formatCode>"R$"\ #,##0.00</c:formatCode>
                <c:ptCount val="361"/>
                <c:pt idx="0" formatCode="General">
                  <c:v>0</c:v>
                </c:pt>
                <c:pt idx="1">
                  <c:v>900</c:v>
                </c:pt>
                <c:pt idx="2">
                  <c:v>1808.4825000000001</c:v>
                </c:pt>
                <c:pt idx="3">
                  <c:v>2725.5274475625001</c:v>
                </c:pt>
                <c:pt idx="4">
                  <c:v>3651.2155437557767</c:v>
                </c:pt>
                <c:pt idx="5">
                  <c:v>4585.6282502556751</c:v>
                </c:pt>
                <c:pt idx="6">
                  <c:v>5528.8477965143347</c:v>
                </c:pt>
                <c:pt idx="7">
                  <c:v>6480.9571869964821</c:v>
                </c:pt>
                <c:pt idx="8">
                  <c:v>7442.0402084839243</c:v>
                </c:pt>
                <c:pt idx="9">
                  <c:v>8412.1814374488858</c:v>
                </c:pt>
                <c:pt idx="10">
                  <c:v>9391.4662474968409</c:v>
                </c:pt>
                <c:pt idx="11">
                  <c:v>10379.980816879499</c:v>
                </c:pt>
                <c:pt idx="12">
                  <c:v>11377.812136078588</c:v>
                </c:pt>
                <c:pt idx="13">
                  <c:v>12385.048015461129</c:v>
                </c:pt>
                <c:pt idx="14">
                  <c:v>13401.777093006851</c:v>
                </c:pt>
                <c:pt idx="15">
                  <c:v>14428.08884210844</c:v>
                </c:pt>
                <c:pt idx="16">
                  <c:v>15464.073579445312</c:v>
                </c:pt>
                <c:pt idx="17">
                  <c:v>16509.822472931584</c:v>
                </c:pt>
                <c:pt idx="18">
                  <c:v>17565.427549738964</c:v>
                </c:pt>
                <c:pt idx="19">
                  <c:v>18630.981704395253</c:v>
                </c:pt>
                <c:pt idx="20">
                  <c:v>19706.578706959179</c:v>
                </c:pt>
                <c:pt idx="21">
                  <c:v>20792.313211272271</c:v>
                </c:pt>
                <c:pt idx="22">
                  <c:v>21888.280763288512</c:v>
                </c:pt>
                <c:pt idx="23">
                  <c:v>22994.577809482507</c:v>
                </c:pt>
                <c:pt idx="24">
                  <c:v>24111.301705336879</c:v>
                </c:pt>
                <c:pt idx="25">
                  <c:v>25238.550723909681</c:v>
                </c:pt>
                <c:pt idx="26">
                  <c:v>26376.42406448253</c:v>
                </c:pt>
                <c:pt idx="27">
                  <c:v>27525.021861290279</c:v>
                </c:pt>
                <c:pt idx="28">
                  <c:v>28684.44519233294</c:v>
                </c:pt>
                <c:pt idx="29">
                  <c:v>29854.796088270679</c:v>
                </c:pt>
                <c:pt idx="30">
                  <c:v>31036.177541402631</c:v>
                </c:pt>
                <c:pt idx="31">
                  <c:v>32228.693514730352</c:v>
                </c:pt>
                <c:pt idx="32">
                  <c:v>33432.448951106686</c:v>
                </c:pt>
                <c:pt idx="33">
                  <c:v>34647.549782470865</c:v>
                </c:pt>
                <c:pt idx="34">
                  <c:v>35874.102939170654</c:v>
                </c:pt>
                <c:pt idx="35">
                  <c:v>37112.216359372338</c:v>
                </c:pt>
                <c:pt idx="36">
                  <c:v>38361.998998559422</c:v>
                </c:pt>
                <c:pt idx="37">
                  <c:v>39623.560839120844</c:v>
                </c:pt>
                <c:pt idx="38">
                  <c:v>40897.012900029556</c:v>
                </c:pt>
                <c:pt idx="39">
                  <c:v>42182.467246612337</c:v>
                </c:pt>
                <c:pt idx="40">
                  <c:v>43480.037000411663</c:v>
                </c:pt>
                <c:pt idx="41">
                  <c:v>44789.836349140547</c:v>
                </c:pt>
                <c:pt idx="42">
                  <c:v>46111.9805567312</c:v>
                </c:pt>
                <c:pt idx="43">
                  <c:v>47446.585973478395</c:v>
                </c:pt>
                <c:pt idx="44">
                  <c:v>48793.770046278427</c:v>
                </c:pt>
                <c:pt idx="45">
                  <c:v>50153.651328964603</c:v>
                </c:pt>
                <c:pt idx="46">
                  <c:v>51526.349492740097</c:v>
                </c:pt>
                <c:pt idx="47">
                  <c:v>52911.985336709171</c:v>
                </c:pt>
                <c:pt idx="48">
                  <c:v>54310.680798507659</c:v>
                </c:pt>
                <c:pt idx="49">
                  <c:v>55722.558965033597</c:v>
                </c:pt>
                <c:pt idx="50">
                  <c:v>57147.744083279038</c:v>
                </c:pt>
                <c:pt idx="51">
                  <c:v>58586.361571263944</c:v>
                </c:pt>
                <c:pt idx="52">
                  <c:v>60038.538029073105</c:v>
                </c:pt>
                <c:pt idx="53">
                  <c:v>61504.401249997121</c:v>
                </c:pt>
                <c:pt idx="54">
                  <c:v>62984.080231778345</c:v>
                </c:pt>
                <c:pt idx="55">
                  <c:v>64477.705187962856</c:v>
                </c:pt>
                <c:pt idx="56">
                  <c:v>65985.407559359417</c:v>
                </c:pt>
                <c:pt idx="57">
                  <c:v>67507.320025606386</c:v>
                </c:pt>
                <c:pt idx="58">
                  <c:v>69043.576516847723</c:v>
                </c:pt>
                <c:pt idx="59">
                  <c:v>70594.31222551901</c:v>
                </c:pt>
                <c:pt idx="60">
                  <c:v>72159.663618244522</c:v>
                </c:pt>
                <c:pt idx="61">
                  <c:v>73739.76844784648</c:v>
                </c:pt>
                <c:pt idx="62">
                  <c:v>75334.76576546744</c:v>
                </c:pt>
                <c:pt idx="63">
                  <c:v>76944.79593280697</c:v>
                </c:pt>
                <c:pt idx="64">
                  <c:v>78570.000634473676</c:v>
                </c:pt>
                <c:pt idx="65">
                  <c:v>80210.522890453591</c:v>
                </c:pt>
                <c:pt idx="66">
                  <c:v>81866.507068696112</c:v>
                </c:pt>
                <c:pt idx="67">
                  <c:v>83538.098897818578</c:v>
                </c:pt>
                <c:pt idx="68">
                  <c:v>85225.445479930524</c:v>
                </c:pt>
                <c:pt idx="69">
                  <c:v>86928.695303578876</c:v>
                </c:pt>
                <c:pt idx="70">
                  <c:v>88647.998256815103</c:v>
                </c:pt>
                <c:pt idx="71">
                  <c:v>90383.505640385585</c:v>
                </c:pt>
                <c:pt idx="72">
                  <c:v>92135.370181046223</c:v>
                </c:pt>
                <c:pt idx="73">
                  <c:v>93903.746045002583</c:v>
                </c:pt>
                <c:pt idx="74">
                  <c:v>95688.78885147674</c:v>
                </c:pt>
                <c:pt idx="75">
                  <c:v>97490.655686401908</c:v>
                </c:pt>
                <c:pt idx="76">
                  <c:v>99309.505116246248</c:v>
                </c:pt>
                <c:pt idx="77">
                  <c:v>101145.49720196686</c:v>
                </c:pt>
                <c:pt idx="78">
                  <c:v>102998.7935130954</c:v>
                </c:pt>
                <c:pt idx="79">
                  <c:v>104869.55714195632</c:v>
                </c:pt>
                <c:pt idx="80">
                  <c:v>106757.95271801927</c:v>
                </c:pt>
                <c:pt idx="81">
                  <c:v>108664.14642238661</c:v>
                </c:pt>
                <c:pt idx="82">
                  <c:v>110588.30600241761</c:v>
                </c:pt>
                <c:pt idx="83">
                  <c:v>112530.60078649039</c:v>
                </c:pt>
                <c:pt idx="84">
                  <c:v>114491.20169890307</c:v>
                </c:pt>
                <c:pt idx="85">
                  <c:v>116470.28127491524</c:v>
                </c:pt>
                <c:pt idx="86">
                  <c:v>118468.01367593132</c:v>
                </c:pt>
                <c:pt idx="87">
                  <c:v>120484.57470482697</c:v>
                </c:pt>
                <c:pt idx="88">
                  <c:v>122520.14182141997</c:v>
                </c:pt>
                <c:pt idx="89">
                  <c:v>124574.89415808686</c:v>
                </c:pt>
                <c:pt idx="90">
                  <c:v>126649.01253552682</c:v>
                </c:pt>
                <c:pt idx="91">
                  <c:v>128742.67947867417</c:v>
                </c:pt>
                <c:pt idx="92">
                  <c:v>130856.07923276068</c:v>
                </c:pt>
                <c:pt idx="93">
                  <c:v>132989.39777952945</c:v>
                </c:pt>
                <c:pt idx="94">
                  <c:v>135142.82285360151</c:v>
                </c:pt>
                <c:pt idx="95">
                  <c:v>137316.54395899671</c:v>
                </c:pt>
                <c:pt idx="96">
                  <c:v>139510.75238581025</c:v>
                </c:pt>
                <c:pt idx="97">
                  <c:v>141725.64122704652</c:v>
                </c:pt>
                <c:pt idx="98">
                  <c:v>143961.40539561145</c:v>
                </c:pt>
                <c:pt idx="99">
                  <c:v>146218.24164146508</c:v>
                </c:pt>
                <c:pt idx="100">
                  <c:v>148496.34856893588</c:v>
                </c:pt>
                <c:pt idx="101">
                  <c:v>150795.92665419809</c:v>
                </c:pt>
                <c:pt idx="102">
                  <c:v>153117.17826291392</c:v>
                </c:pt>
                <c:pt idx="103">
                  <c:v>155460.30766804187</c:v>
                </c:pt>
                <c:pt idx="104">
                  <c:v>157825.52106781318</c:v>
                </c:pt>
                <c:pt idx="105">
                  <c:v>160213.02660387734</c:v>
                </c:pt>
                <c:pt idx="106">
                  <c:v>162623.03437961888</c:v>
                </c:pt>
                <c:pt idx="107">
                  <c:v>165055.7564786468</c:v>
                </c:pt>
                <c:pt idx="108">
                  <c:v>167511.40698345806</c:v>
                </c:pt>
                <c:pt idx="109">
                  <c:v>169990.20199427716</c:v>
                </c:pt>
                <c:pt idx="110">
                  <c:v>172492.35964807324</c:v>
                </c:pt>
                <c:pt idx="111">
                  <c:v>175018.10013775632</c:v>
                </c:pt>
                <c:pt idx="112">
                  <c:v>177567.64573155469</c:v>
                </c:pt>
                <c:pt idx="113">
                  <c:v>180141.2207925746</c:v>
                </c:pt>
                <c:pt idx="114">
                  <c:v>182739.05179854462</c:v>
                </c:pt>
                <c:pt idx="115">
                  <c:v>185361.36736174591</c:v>
                </c:pt>
                <c:pt idx="116">
                  <c:v>188008.39824913038</c:v>
                </c:pt>
                <c:pt idx="117">
                  <c:v>190680.37740262842</c:v>
                </c:pt>
                <c:pt idx="118">
                  <c:v>193377.53995964819</c:v>
                </c:pt>
                <c:pt idx="119">
                  <c:v>196100.12327376788</c:v>
                </c:pt>
                <c:pt idx="120">
                  <c:v>198848.36693562314</c:v>
                </c:pt>
                <c:pt idx="121">
                  <c:v>201622.51279399139</c:v>
                </c:pt>
                <c:pt idx="122">
                  <c:v>204422.80497707476</c:v>
                </c:pt>
                <c:pt idx="123">
                  <c:v>207249.48991398371</c:v>
                </c:pt>
                <c:pt idx="124">
                  <c:v>210102.81635642302</c:v>
                </c:pt>
                <c:pt idx="125">
                  <c:v>212983.0354005823</c:v>
                </c:pt>
                <c:pt idx="126">
                  <c:v>215890.4005092328</c:v>
                </c:pt>
                <c:pt idx="127">
                  <c:v>218825.16753403231</c:v>
                </c:pt>
                <c:pt idx="128">
                  <c:v>221787.59473804059</c:v>
                </c:pt>
                <c:pt idx="129">
                  <c:v>224777.94281844661</c:v>
                </c:pt>
                <c:pt idx="130">
                  <c:v>227796.47492951047</c:v>
                </c:pt>
                <c:pt idx="131">
                  <c:v>230843.45670572112</c:v>
                </c:pt>
                <c:pt idx="132">
                  <c:v>233919.15628517256</c:v>
                </c:pt>
                <c:pt idx="133">
                  <c:v>237023.84433316032</c:v>
                </c:pt>
                <c:pt idx="134">
                  <c:v>240157.79406600035</c:v>
                </c:pt>
                <c:pt idx="135">
                  <c:v>243321.2812750724</c:v>
                </c:pt>
                <c:pt idx="136">
                  <c:v>246514.58435108996</c:v>
                </c:pt>
                <c:pt idx="137">
                  <c:v>249737.98430859897</c:v>
                </c:pt>
                <c:pt idx="138">
                  <c:v>252991.76481070751</c:v>
                </c:pt>
                <c:pt idx="139">
                  <c:v>256276.21219404842</c:v>
                </c:pt>
                <c:pt idx="140">
                  <c:v>259591.61549397733</c:v>
                </c:pt>
                <c:pt idx="141">
                  <c:v>262938.26647000806</c:v>
                </c:pt>
                <c:pt idx="142">
                  <c:v>266316.4596314879</c:v>
                </c:pt>
                <c:pt idx="143">
                  <c:v>269726.49226351466</c:v>
                </c:pt>
                <c:pt idx="144">
                  <c:v>273168.66445309832</c:v>
                </c:pt>
                <c:pt idx="145">
                  <c:v>276643.27911556879</c:v>
                </c:pt>
                <c:pt idx="146">
                  <c:v>280150.64202123304</c:v>
                </c:pt>
                <c:pt idx="147">
                  <c:v>283691.06182228314</c:v>
                </c:pt>
                <c:pt idx="148">
                  <c:v>287264.85007995815</c:v>
                </c:pt>
                <c:pt idx="149">
                  <c:v>290872.32129196177</c:v>
                </c:pt>
                <c:pt idx="150">
                  <c:v>294513.79292013851</c:v>
                </c:pt>
                <c:pt idx="151">
                  <c:v>298189.58541841083</c:v>
                </c:pt>
                <c:pt idx="152">
                  <c:v>301900.02226097934</c:v>
                </c:pt>
                <c:pt idx="153">
                  <c:v>305645.42997078906</c:v>
                </c:pt>
                <c:pt idx="154">
                  <c:v>309426.13814826374</c:v>
                </c:pt>
                <c:pt idx="155">
                  <c:v>313242.47950031114</c:v>
                </c:pt>
                <c:pt idx="156">
                  <c:v>317094.78986960155</c:v>
                </c:pt>
                <c:pt idx="157">
                  <c:v>320983.40826412255</c:v>
                </c:pt>
                <c:pt idx="158">
                  <c:v>324908.67688701191</c:v>
                </c:pt>
                <c:pt idx="159">
                  <c:v>328870.94116667198</c:v>
                </c:pt>
                <c:pt idx="160">
                  <c:v>332870.54978716787</c:v>
                </c:pt>
                <c:pt idx="161">
                  <c:v>336907.85471891193</c:v>
                </c:pt>
                <c:pt idx="162">
                  <c:v>340983.21124963765</c:v>
                </c:pt>
                <c:pt idx="163">
                  <c:v>345096.97801566549</c:v>
                </c:pt>
                <c:pt idx="164">
                  <c:v>349249.51703346317</c:v>
                </c:pt>
                <c:pt idx="165">
                  <c:v>353441.19373150356</c:v>
                </c:pt>
                <c:pt idx="166">
                  <c:v>357672.37698242301</c:v>
                </c:pt>
                <c:pt idx="167">
                  <c:v>361943.43913548236</c:v>
                </c:pt>
                <c:pt idx="168">
                  <c:v>366254.7560493343</c:v>
                </c:pt>
                <c:pt idx="169">
                  <c:v>370606.70712509926</c:v>
                </c:pt>
                <c:pt idx="170">
                  <c:v>374999.67533975333</c:v>
                </c:pt>
                <c:pt idx="171">
                  <c:v>379434.0472798305</c:v>
                </c:pt>
                <c:pt idx="172">
                  <c:v>383910.21317544288</c:v>
                </c:pt>
                <c:pt idx="173">
                  <c:v>388428.56693462143</c:v>
                </c:pt>
                <c:pt idx="174">
                  <c:v>392989.50617798022</c:v>
                </c:pt>
                <c:pt idx="175">
                  <c:v>397593.4322737077</c:v>
                </c:pt>
                <c:pt idx="176">
                  <c:v>402240.75037288741</c:v>
                </c:pt>
                <c:pt idx="177">
                  <c:v>406931.86944515188</c:v>
                </c:pt>
                <c:pt idx="178">
                  <c:v>411667.20231467247</c:v>
                </c:pt>
                <c:pt idx="179">
                  <c:v>416447.16569648829</c:v>
                </c:pt>
                <c:pt idx="180">
                  <c:v>421272.18023317767</c:v>
                </c:pt>
                <c:pt idx="181">
                  <c:v>426142.6705318754</c:v>
                </c:pt>
                <c:pt idx="182">
                  <c:v>431059.06520163832</c:v>
                </c:pt>
                <c:pt idx="183">
                  <c:v>436021.7968911638</c:v>
                </c:pt>
                <c:pt idx="184">
                  <c:v>441031.30232686305</c:v>
                </c:pt>
                <c:pt idx="185">
                  <c:v>446088.02235129377</c:v>
                </c:pt>
                <c:pt idx="186">
                  <c:v>451192.40196195472</c:v>
                </c:pt>
                <c:pt idx="187">
                  <c:v>456344.89035044616</c:v>
                </c:pt>
                <c:pt idx="188">
                  <c:v>461545.94094199914</c:v>
                </c:pt>
                <c:pt idx="189">
                  <c:v>466796.01143537747</c:v>
                </c:pt>
                <c:pt idx="190">
                  <c:v>472095.56384315592</c:v>
                </c:pt>
                <c:pt idx="191">
                  <c:v>477445.0645323777</c:v>
                </c:pt>
                <c:pt idx="192">
                  <c:v>482844.98426559538</c:v>
                </c:pt>
                <c:pt idx="193">
                  <c:v>488295.79824229865</c:v>
                </c:pt>
                <c:pt idx="194">
                  <c:v>493797.9861407323</c:v>
                </c:pt>
                <c:pt idx="195">
                  <c:v>499352.03216010873</c:v>
                </c:pt>
                <c:pt idx="196">
                  <c:v>504958.42506321776</c:v>
                </c:pt>
                <c:pt idx="197">
                  <c:v>510617.65821943857</c:v>
                </c:pt>
                <c:pt idx="198">
                  <c:v>516330.22964815679</c:v>
                </c:pt>
                <c:pt idx="199">
                  <c:v>522096.64206259069</c:v>
                </c:pt>
                <c:pt idx="200">
                  <c:v>527917.40291403059</c:v>
                </c:pt>
                <c:pt idx="201">
                  <c:v>533793.02443649538</c:v>
                </c:pt>
                <c:pt idx="202">
                  <c:v>539724.02369180939</c:v>
                </c:pt>
                <c:pt idx="203">
                  <c:v>545710.9226151047</c:v>
                </c:pt>
                <c:pt idx="204">
                  <c:v>551754.24806075206</c:v>
                </c:pt>
                <c:pt idx="205">
                  <c:v>557854.5318487247</c:v>
                </c:pt>
                <c:pt idx="206">
                  <c:v>564012.3108113989</c:v>
                </c:pt>
                <c:pt idx="207">
                  <c:v>570228.12684079632</c:v>
                </c:pt>
                <c:pt idx="208">
                  <c:v>576502.52693627088</c:v>
                </c:pt>
                <c:pt idx="209">
                  <c:v>582836.0632526452</c:v>
                </c:pt>
                <c:pt idx="210">
                  <c:v>589229.29314880143</c:v>
                </c:pt>
                <c:pt idx="211">
                  <c:v>595682.77923672891</c:v>
                </c:pt>
                <c:pt idx="212">
                  <c:v>602197.0894310351</c:v>
                </c:pt>
                <c:pt idx="213">
                  <c:v>608772.7969989226</c:v>
                </c:pt>
                <c:pt idx="214">
                  <c:v>615410.48061063746</c:v>
                </c:pt>
                <c:pt idx="215">
                  <c:v>622110.72439039277</c:v>
                </c:pt>
                <c:pt idx="216">
                  <c:v>628874.11796777218</c:v>
                </c:pt>
                <c:pt idx="217">
                  <c:v>635701.2565296184</c:v>
                </c:pt>
                <c:pt idx="218">
                  <c:v>642592.74087241013</c:v>
                </c:pt>
                <c:pt idx="219">
                  <c:v>649549.17745513259</c:v>
                </c:pt>
                <c:pt idx="220">
                  <c:v>656571.17845264717</c:v>
                </c:pt>
                <c:pt idx="221">
                  <c:v>663659.36180956336</c:v>
                </c:pt>
                <c:pt idx="222">
                  <c:v>670814.35129461845</c:v>
                </c:pt>
                <c:pt idx="223">
                  <c:v>678036.77655557019</c:v>
                </c:pt>
                <c:pt idx="224">
                  <c:v>685327.2731746065</c:v>
                </c:pt>
                <c:pt idx="225">
                  <c:v>692686.48272427719</c:v>
                </c:pt>
                <c:pt idx="226">
                  <c:v>700115.05282395356</c:v>
                </c:pt>
                <c:pt idx="227">
                  <c:v>707613.6371968193</c:v>
                </c:pt>
                <c:pt idx="228">
                  <c:v>715182.89572739939</c:v>
                </c:pt>
                <c:pt idx="229">
                  <c:v>722823.4945196301</c:v>
                </c:pt>
                <c:pt idx="230">
                  <c:v>730536.10595547757</c:v>
                </c:pt>
                <c:pt idx="231">
                  <c:v>738321.40875410801</c:v>
                </c:pt>
                <c:pt idx="232">
                  <c:v>746180.08803161548</c:v>
                </c:pt>
                <c:pt idx="233">
                  <c:v>754112.83536131342</c:v>
                </c:pt>
                <c:pt idx="234">
                  <c:v>762120.34883459378</c:v>
                </c:pt>
                <c:pt idx="235">
                  <c:v>770203.33312235982</c:v>
                </c:pt>
                <c:pt idx="236">
                  <c:v>778362.49953703803</c:v>
                </c:pt>
                <c:pt idx="237">
                  <c:v>786598.56609517464</c:v>
                </c:pt>
                <c:pt idx="238">
                  <c:v>794912.25758062163</c:v>
                </c:pt>
                <c:pt idx="239">
                  <c:v>803304.305608319</c:v>
                </c:pt>
                <c:pt idx="240">
                  <c:v>811775.4486886774</c:v>
                </c:pt>
                <c:pt idx="241">
                  <c:v>820326.43229256815</c:v>
                </c:pt>
                <c:pt idx="242">
                  <c:v>828958.00891692564</c:v>
                </c:pt>
                <c:pt idx="243">
                  <c:v>837670.9381509677</c:v>
                </c:pt>
                <c:pt idx="244">
                  <c:v>846465.98674304062</c:v>
                </c:pt>
                <c:pt idx="245">
                  <c:v>855343.92866809375</c:v>
                </c:pt>
                <c:pt idx="246">
                  <c:v>864305.54519579059</c:v>
                </c:pt>
                <c:pt idx="247">
                  <c:v>873351.62495926092</c:v>
                </c:pt>
                <c:pt idx="248">
                  <c:v>882482.96402450197</c:v>
                </c:pt>
                <c:pt idx="249">
                  <c:v>891700.36596043292</c:v>
                </c:pt>
                <c:pt idx="250">
                  <c:v>901004.64190961001</c:v>
                </c:pt>
                <c:pt idx="251">
                  <c:v>910396.61065960815</c:v>
                </c:pt>
                <c:pt idx="252">
                  <c:v>919877.09871507494</c:v>
                </c:pt>
                <c:pt idx="253">
                  <c:v>929446.94037046458</c:v>
                </c:pt>
                <c:pt idx="254">
                  <c:v>939106.97778345621</c:v>
                </c:pt>
                <c:pt idx="255">
                  <c:v>948858.06104906532</c:v>
                </c:pt>
                <c:pt idx="256">
                  <c:v>958701.0482744528</c:v>
                </c:pt>
                <c:pt idx="257">
                  <c:v>968636.80565443949</c:v>
                </c:pt>
                <c:pt idx="258">
                  <c:v>978666.20754773263</c:v>
                </c:pt>
                <c:pt idx="259">
                  <c:v>988790.13655387005</c:v>
                </c:pt>
                <c:pt idx="260">
                  <c:v>999009.4835908903</c:v>
                </c:pt>
                <c:pt idx="261">
                  <c:v>1009325.1479737344</c:v>
                </c:pt>
                <c:pt idx="262">
                  <c:v>1019738.0374933869</c:v>
                </c:pt>
                <c:pt idx="263">
                  <c:v>1030249.0684967621</c:v>
                </c:pt>
                <c:pt idx="264">
                  <c:v>1040859.1659673441</c:v>
                </c:pt>
                <c:pt idx="265">
                  <c:v>1051569.2636065863</c:v>
                </c:pt>
                <c:pt idx="266">
                  <c:v>1062380.3039160783</c:v>
                </c:pt>
                <c:pt idx="267">
                  <c:v>1073293.2382804872</c:v>
                </c:pt>
                <c:pt idx="268">
                  <c:v>1084309.027051281</c:v>
                </c:pt>
                <c:pt idx="269">
                  <c:v>1095428.6396312392</c:v>
                </c:pt>
                <c:pt idx="270">
                  <c:v>1106653.0545597638</c:v>
                </c:pt>
                <c:pt idx="271">
                  <c:v>1117983.2595989895</c:v>
                </c:pt>
                <c:pt idx="272">
                  <c:v>1129420.25182071</c:v>
                </c:pt>
                <c:pt idx="273">
                  <c:v>1140965.0376941203</c:v>
                </c:pt>
                <c:pt idx="274">
                  <c:v>1152618.6331743875</c:v>
                </c:pt>
                <c:pt idx="275">
                  <c:v>1164382.0637920562</c:v>
                </c:pt>
                <c:pt idx="276">
                  <c:v>1176256.3647432963</c:v>
                </c:pt>
                <c:pt idx="277">
                  <c:v>1188242.580981002</c:v>
                </c:pt>
                <c:pt idx="278">
                  <c:v>1200341.7673067478</c:v>
                </c:pt>
                <c:pt idx="279">
                  <c:v>1212554.9884636139</c:v>
                </c:pt>
                <c:pt idx="280">
                  <c:v>1224883.3192298834</c:v>
                </c:pt>
                <c:pt idx="281">
                  <c:v>1237327.8445136251</c:v>
                </c:pt>
                <c:pt idx="282">
                  <c:v>1249889.6594481661</c:v>
                </c:pt>
                <c:pt idx="283">
                  <c:v>1262569.8694884651</c:v>
                </c:pt>
                <c:pt idx="284">
                  <c:v>1275369.5905083939</c:v>
                </c:pt>
                <c:pt idx="285">
                  <c:v>1288289.9488989357</c:v>
                </c:pt>
                <c:pt idx="286">
                  <c:v>1301332.0816673082</c:v>
                </c:pt>
                <c:pt idx="287">
                  <c:v>1314497.1365370227</c:v>
                </c:pt>
                <c:pt idx="288">
                  <c:v>1327786.2720488841</c:v>
                </c:pt>
                <c:pt idx="289">
                  <c:v>1341200.6576629449</c:v>
                </c:pt>
                <c:pt idx="290">
                  <c:v>1354741.4738614182</c:v>
                </c:pt>
                <c:pt idx="291">
                  <c:v>1368409.9122525621</c:v>
                </c:pt>
                <c:pt idx="292">
                  <c:v>1382207.1756755426</c:v>
                </c:pt>
                <c:pt idx="293">
                  <c:v>1396134.4783062846</c:v>
                </c:pt>
                <c:pt idx="294">
                  <c:v>1410193.0457643215</c:v>
                </c:pt>
                <c:pt idx="295">
                  <c:v>1424384.1152206501</c:v>
                </c:pt>
                <c:pt idx="296">
                  <c:v>1438708.9355066048</c:v>
                </c:pt>
                <c:pt idx="297">
                  <c:v>1453168.7672237547</c:v>
                </c:pt>
                <c:pt idx="298">
                  <c:v>1467764.8828548386</c:v>
                </c:pt>
                <c:pt idx="299">
                  <c:v>1482498.5668757455</c:v>
                </c:pt>
                <c:pt idx="300">
                  <c:v>1497371.1158685496</c:v>
                </c:pt>
                <c:pt idx="301">
                  <c:v>1512383.8386356106</c:v>
                </c:pt>
                <c:pt idx="302">
                  <c:v>1527538.0563147513</c:v>
                </c:pt>
                <c:pt idx="303">
                  <c:v>1542835.1024955178</c:v>
                </c:pt>
                <c:pt idx="304">
                  <c:v>1558276.3233365382</c:v>
                </c:pt>
                <c:pt idx="305">
                  <c:v>1573863.077683985</c:v>
                </c:pt>
                <c:pt idx="306">
                  <c:v>1589596.7371911565</c:v>
                </c:pt>
                <c:pt idx="307">
                  <c:v>1605478.6864391831</c:v>
                </c:pt>
                <c:pt idx="308">
                  <c:v>1621510.3230588725</c:v>
                </c:pt>
                <c:pt idx="309">
                  <c:v>1637693.0578537025</c:v>
                </c:pt>
                <c:pt idx="310">
                  <c:v>1654028.3149239735</c:v>
                </c:pt>
                <c:pt idx="311">
                  <c:v>1670517.531792132</c:v>
                </c:pt>
                <c:pt idx="312">
                  <c:v>1687162.1595292729</c:v>
                </c:pt>
                <c:pt idx="313">
                  <c:v>1703963.6628828363</c:v>
                </c:pt>
                <c:pt idx="314">
                  <c:v>1720923.5204055069</c:v>
                </c:pt>
                <c:pt idx="315">
                  <c:v>1738043.2245853289</c:v>
                </c:pt>
                <c:pt idx="316">
                  <c:v>1755324.2819770458</c:v>
                </c:pt>
                <c:pt idx="317">
                  <c:v>1772768.2133346796</c:v>
                </c:pt>
                <c:pt idx="318">
                  <c:v>1790376.5537453589</c:v>
                </c:pt>
                <c:pt idx="319">
                  <c:v>1808150.852764409</c:v>
                </c:pt>
                <c:pt idx="320">
                  <c:v>1826092.6745517135</c:v>
                </c:pt>
                <c:pt idx="321">
                  <c:v>1844203.5980093635</c:v>
                </c:pt>
                <c:pt idx="322">
                  <c:v>1862485.2169206019</c:v>
                </c:pt>
                <c:pt idx="323">
                  <c:v>1880939.1400900786</c:v>
                </c:pt>
                <c:pt idx="324">
                  <c:v>1899566.9914854276</c:v>
                </c:pt>
                <c:pt idx="325">
                  <c:v>1918370.4103801779</c:v>
                </c:pt>
                <c:pt idx="326">
                  <c:v>1937351.0514980112</c:v>
                </c:pt>
                <c:pt idx="327">
                  <c:v>1956510.58515838</c:v>
                </c:pt>
                <c:pt idx="328">
                  <c:v>1975850.6974234977</c:v>
                </c:pt>
                <c:pt idx="329">
                  <c:v>1995373.0902467142</c:v>
                </c:pt>
                <c:pt idx="330">
                  <c:v>2015079.4816222894</c:v>
                </c:pt>
                <c:pt idx="331">
                  <c:v>2034971.6057365795</c:v>
                </c:pt>
                <c:pt idx="332">
                  <c:v>2055051.2131206468</c:v>
                </c:pt>
                <c:pt idx="333">
                  <c:v>2075320.0708043089</c:v>
                </c:pt>
                <c:pt idx="334">
                  <c:v>2095779.9624716395</c:v>
                </c:pt>
                <c:pt idx="335">
                  <c:v>2116432.6886179349</c:v>
                </c:pt>
                <c:pt idx="336">
                  <c:v>2137280.0667081592</c:v>
                </c:pt>
                <c:pt idx="337">
                  <c:v>2158323.9313368835</c:v>
                </c:pt>
                <c:pt idx="338">
                  <c:v>2179566.1343897334</c:v>
                </c:pt>
                <c:pt idx="339">
                  <c:v>2201008.5452063568</c:v>
                </c:pt>
                <c:pt idx="340">
                  <c:v>2222653.0507449266</c:v>
                </c:pt>
                <c:pt idx="341">
                  <c:v>2244501.5557481977</c:v>
                </c:pt>
                <c:pt idx="342">
                  <c:v>2266555.9829111244</c:v>
                </c:pt>
                <c:pt idx="343">
                  <c:v>2288818.2730500619</c:v>
                </c:pt>
                <c:pt idx="344">
                  <c:v>2311290.3852735586</c:v>
                </c:pt>
                <c:pt idx="345">
                  <c:v>2333974.2971547619</c:v>
                </c:pt>
                <c:pt idx="346">
                  <c:v>2356872.0049054455</c:v>
                </c:pt>
                <c:pt idx="347">
                  <c:v>2379985.5235516792</c:v>
                </c:pt>
                <c:pt idx="348">
                  <c:v>2403316.8871111539</c:v>
                </c:pt>
                <c:pt idx="349">
                  <c:v>2426868.1487721764</c:v>
                </c:pt>
                <c:pt idx="350">
                  <c:v>2450641.3810743541</c:v>
                </c:pt>
                <c:pt idx="351">
                  <c:v>2474638.6760909799</c:v>
                </c:pt>
                <c:pt idx="352">
                  <c:v>2498862.1456131376</c:v>
                </c:pt>
                <c:pt idx="353">
                  <c:v>2523313.9213355416</c:v>
                </c:pt>
                <c:pt idx="354">
                  <c:v>2547996.1550441291</c:v>
                </c:pt>
                <c:pt idx="355">
                  <c:v>2572911.01880542</c:v>
                </c:pt>
                <c:pt idx="356">
                  <c:v>2598060.7051576613</c:v>
                </c:pt>
                <c:pt idx="357">
                  <c:v>2623447.4273037724</c:v>
                </c:pt>
                <c:pt idx="358">
                  <c:v>2649073.4193061106</c:v>
                </c:pt>
                <c:pt idx="359">
                  <c:v>2674940.9362830706</c:v>
                </c:pt>
                <c:pt idx="360">
                  <c:v>2701052.2546075387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58-40DF-9F22-4024EE1FF3A7}"/>
            </c:ext>
          </c:extLst>
        </c:ser>
        <c:ser>
          <c:idx val="2"/>
          <c:order val="2"/>
          <c:tx>
            <c:strRef>
              <c:f>AUXILIAR!$I$1</c:f>
              <c:strCache>
                <c:ptCount val="1"/>
                <c:pt idx="0">
                  <c:v>Real (reinvest)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AUXILIAR!$I$2:$I$362</c:f>
              <c:numCache>
                <c:formatCode>"R$"\ #,##0.00</c:formatCode>
                <c:ptCount val="361"/>
                <c:pt idx="0" formatCode="General">
                  <c:v>0</c:v>
                </c:pt>
                <c:pt idx="1">
                  <c:v>900</c:v>
                </c:pt>
                <c:pt idx="2">
                  <c:v>1805.5180694724679</c:v>
                </c:pt>
                <c:pt idx="3">
                  <c:v>2716.5880407404075</c:v>
                </c:pt>
                <c:pt idx="4">
                  <c:v>3633.2439535591643</c:v>
                </c:pt>
                <c:pt idx="5">
                  <c:v>4555.5200563882354</c:v>
                </c:pt>
                <c:pt idx="6">
                  <c:v>5483.4508076708707</c:v>
                </c:pt>
                <c:pt idx="7">
                  <c:v>6417.0708771215241</c:v>
                </c:pt>
                <c:pt idx="8">
                  <c:v>7356.4151470211991</c:v>
                </c:pt>
                <c:pt idx="9">
                  <c:v>8301.5187135207307</c:v>
                </c:pt>
                <c:pt idx="10">
                  <c:v>9252.4168879520639</c:v>
                </c:pt>
                <c:pt idx="11">
                  <c:v>10209.145198147569</c:v>
                </c:pt>
                <c:pt idx="12">
                  <c:v>11171.739389767448</c:v>
                </c:pt>
                <c:pt idx="13">
                  <c:v>12140.235427635274</c:v>
                </c:pt>
                <c:pt idx="14">
                  <c:v>13114.669497081728</c:v>
                </c:pt>
                <c:pt idx="15">
                  <c:v>14095.078005296566</c:v>
                </c:pt>
                <c:pt idx="16">
                  <c:v>15081.497582688879</c:v>
                </c:pt>
                <c:pt idx="17">
                  <c:v>16073.965084255695</c:v>
                </c:pt>
                <c:pt idx="18">
                  <c:v>17072.517590958967</c:v>
                </c:pt>
                <c:pt idx="19">
                  <c:v>18077.192411111013</c:v>
                </c:pt>
                <c:pt idx="20">
                  <c:v>19088.027081768436</c:v>
                </c:pt>
                <c:pt idx="21">
                  <c:v>20105.059370134601</c:v>
                </c:pt>
                <c:pt idx="22">
                  <c:v>21128.327274970707</c:v>
                </c:pt>
                <c:pt idx="23">
                  <c:v>22157.869028015517</c:v>
                </c:pt>
                <c:pt idx="24">
                  <c:v>23193.723095413778</c:v>
                </c:pt>
                <c:pt idx="25">
                  <c:v>24235.928179153419</c:v>
                </c:pt>
                <c:pt idx="26">
                  <c:v>25284.523218511546</c:v>
                </c:pt>
                <c:pt idx="27">
                  <c:v>26339.547391509295</c:v>
                </c:pt>
                <c:pt idx="28">
                  <c:v>27401.04011637564</c:v>
                </c:pt>
                <c:pt idx="29">
                  <c:v>28469.04105302013</c:v>
                </c:pt>
                <c:pt idx="30">
                  <c:v>29543.590104514693</c:v>
                </c:pt>
                <c:pt idx="31">
                  <c:v>30624.727418584502</c:v>
                </c:pt>
                <c:pt idx="32">
                  <c:v>31712.493389107996</c:v>
                </c:pt>
                <c:pt idx="33">
                  <c:v>32806.928657626086</c:v>
                </c:pt>
                <c:pt idx="34">
                  <c:v>33908.074114860618</c:v>
                </c:pt>
                <c:pt idx="35">
                  <c:v>35015.970902242167</c:v>
                </c:pt>
                <c:pt idx="36">
                  <c:v>36130.660413447156</c:v>
                </c:pt>
                <c:pt idx="37">
                  <c:v>37252.184295944433</c:v>
                </c:pt>
                <c:pt idx="38">
                  <c:v>38380.584452551324</c:v>
                </c:pt>
                <c:pt idx="39">
                  <c:v>39515.903042999213</c:v>
                </c:pt>
                <c:pt idx="40">
                  <c:v>40658.18248550874</c:v>
                </c:pt>
                <c:pt idx="41">
                  <c:v>41807.465458374645</c:v>
                </c:pt>
                <c:pt idx="42">
                  <c:v>42963.79490156033</c:v>
                </c:pt>
                <c:pt idx="43">
                  <c:v>44127.214018302191</c:v>
                </c:pt>
                <c:pt idx="44">
                  <c:v>45297.766276723807</c:v>
                </c:pt>
                <c:pt idx="45">
                  <c:v>46475.495411460004</c:v>
                </c:pt>
                <c:pt idx="46">
                  <c:v>47660.445425290898</c:v>
                </c:pt>
                <c:pt idx="47">
                  <c:v>48852.660590785927</c:v>
                </c:pt>
                <c:pt idx="48">
                  <c:v>50052.185451957987</c:v>
                </c:pt>
                <c:pt idx="49">
                  <c:v>51259.064825927715</c:v>
                </c:pt>
                <c:pt idx="50">
                  <c:v>52473.343804597949</c:v>
                </c:pt>
                <c:pt idx="51">
                  <c:v>53695.067756338467</c:v>
                </c:pt>
                <c:pt idx="52">
                  <c:v>54924.282327681081</c:v>
                </c:pt>
                <c:pt idx="53">
                  <c:v>56161.033445025067</c:v>
                </c:pt>
                <c:pt idx="54">
                  <c:v>57405.367316353113</c:v>
                </c:pt>
                <c:pt idx="55">
                  <c:v>58657.330432957759</c:v>
                </c:pt>
                <c:pt idx="56">
                  <c:v>59916.969571178393</c:v>
                </c:pt>
                <c:pt idx="57">
                  <c:v>61184.331794148959</c:v>
                </c:pt>
                <c:pt idx="58">
                  <c:v>62459.464453556342</c:v>
                </c:pt>
                <c:pt idx="59">
                  <c:v>63742.415191409527</c:v>
                </c:pt>
                <c:pt idx="60">
                  <c:v>65033.231941819635</c:v>
                </c:pt>
                <c:pt idx="61">
                  <c:v>66331.962932790833</c:v>
                </c:pt>
                <c:pt idx="62">
                  <c:v>67638.656688022282</c:v>
                </c:pt>
                <c:pt idx="63">
                  <c:v>68953.36202872108</c:v>
                </c:pt>
                <c:pt idx="64">
                  <c:v>70276.128075426328</c:v>
                </c:pt>
                <c:pt idx="65">
                  <c:v>71607.004249844395</c:v>
                </c:pt>
                <c:pt idx="66">
                  <c:v>72946.04027669545</c:v>
                </c:pt>
                <c:pt idx="67">
                  <c:v>74293.286185571284</c:v>
                </c:pt>
                <c:pt idx="68">
                  <c:v>75648.792312804537</c:v>
                </c:pt>
                <c:pt idx="69">
                  <c:v>77012.609303349382</c:v>
                </c:pt>
                <c:pt idx="70">
                  <c:v>78384.788112673734</c:v>
                </c:pt>
                <c:pt idx="71">
                  <c:v>79765.38000866308</c:v>
                </c:pt>
                <c:pt idx="72">
                  <c:v>81154.436573535975</c:v>
                </c:pt>
                <c:pt idx="73">
                  <c:v>82552.00970577127</c:v>
                </c:pt>
                <c:pt idx="74">
                  <c:v>83958.151622047153</c:v>
                </c:pt>
                <c:pt idx="75">
                  <c:v>85372.914859192097</c:v>
                </c:pt>
                <c:pt idx="76">
                  <c:v>86796.35227614778</c:v>
                </c:pt>
                <c:pt idx="77">
                  <c:v>88228.517055943987</c:v>
                </c:pt>
                <c:pt idx="78">
                  <c:v>89669.462707685685</c:v>
                </c:pt>
                <c:pt idx="79">
                  <c:v>91119.243068552227</c:v>
                </c:pt>
                <c:pt idx="80">
                  <c:v>92577.912305808859</c:v>
                </c:pt>
                <c:pt idx="81">
                  <c:v>94045.524918830532</c:v>
                </c:pt>
                <c:pt idx="82">
                  <c:v>95522.135741138118</c:v>
                </c:pt>
                <c:pt idx="83">
                  <c:v>97007.799942447135</c:v>
                </c:pt>
                <c:pt idx="84">
                  <c:v>98502.573030729021</c:v>
                </c:pt>
                <c:pt idx="85">
                  <c:v>100006.51085428504</c:v>
                </c:pt>
                <c:pt idx="86">
                  <c:v>101519.66960383288</c:v>
                </c:pt>
                <c:pt idx="87">
                  <c:v>103042.10581460616</c:v>
                </c:pt>
                <c:pt idx="88">
                  <c:v>104573.87636846659</c:v>
                </c:pt>
                <c:pt idx="89">
                  <c:v>106115.03849602934</c:v>
                </c:pt>
                <c:pt idx="90">
                  <c:v>107665.64977880123</c:v>
                </c:pt>
                <c:pt idx="91">
                  <c:v>109225.76815133216</c:v>
                </c:pt>
                <c:pt idx="92">
                  <c:v>110795.45190337964</c:v>
                </c:pt>
                <c:pt idx="93">
                  <c:v>112374.75968208667</c:v>
                </c:pt>
                <c:pt idx="94">
                  <c:v>113963.75049417294</c:v>
                </c:pt>
                <c:pt idx="95">
                  <c:v>115562.48370813944</c:v>
                </c:pt>
                <c:pt idx="96">
                  <c:v>117171.01905648662</c:v>
                </c:pt>
                <c:pt idx="97">
                  <c:v>118789.41663794614</c:v>
                </c:pt>
                <c:pt idx="98">
                  <c:v>120417.73691972627</c:v>
                </c:pt>
                <c:pt idx="99">
                  <c:v>122056.04073977118</c:v>
                </c:pt>
                <c:pt idx="100">
                  <c:v>123704.3893090339</c:v>
                </c:pt>
                <c:pt idx="101">
                  <c:v>125362.84421376331</c:v>
                </c:pt>
                <c:pt idx="102">
                  <c:v>127031.46741780522</c:v>
                </c:pt>
                <c:pt idx="103">
                  <c:v>128710.32126491744</c:v>
                </c:pt>
                <c:pt idx="104">
                  <c:v>130399.46848109909</c:v>
                </c:pt>
                <c:pt idx="105">
                  <c:v>132098.97217693418</c:v>
                </c:pt>
                <c:pt idx="106">
                  <c:v>133808.89584994968</c:v>
                </c:pt>
                <c:pt idx="107">
                  <c:v>135529.30338698774</c:v>
                </c:pt>
                <c:pt idx="108">
                  <c:v>137260.25906659284</c:v>
                </c:pt>
                <c:pt idx="109">
                  <c:v>139001.82756141329</c:v>
                </c:pt>
                <c:pt idx="110">
                  <c:v>140754.07394061761</c:v>
                </c:pt>
                <c:pt idx="111">
                  <c:v>142517.06367232563</c:v>
                </c:pt>
                <c:pt idx="112">
                  <c:v>144290.86262605456</c:v>
                </c:pt>
                <c:pt idx="113">
                  <c:v>146075.53707518001</c:v>
                </c:pt>
                <c:pt idx="114">
                  <c:v>147871.15369941213</c:v>
                </c:pt>
                <c:pt idx="115">
                  <c:v>149677.77958728696</c:v>
                </c:pt>
                <c:pt idx="116">
                  <c:v>151495.48223867296</c:v>
                </c:pt>
                <c:pt idx="117">
                  <c:v>153324.329567293</c:v>
                </c:pt>
                <c:pt idx="118">
                  <c:v>155164.38990326176</c:v>
                </c:pt>
                <c:pt idx="119">
                  <c:v>157015.73199563878</c:v>
                </c:pt>
                <c:pt idx="120">
                  <c:v>158878.42501499693</c:v>
                </c:pt>
                <c:pt idx="121">
                  <c:v>160752.53855600697</c:v>
                </c:pt>
                <c:pt idx="122">
                  <c:v>162638.14264003767</c:v>
                </c:pt>
                <c:pt idx="123">
                  <c:v>164535.30771777197</c:v>
                </c:pt>
                <c:pt idx="124">
                  <c:v>166444.10467183925</c:v>
                </c:pt>
                <c:pt idx="125">
                  <c:v>168364.60481946362</c:v>
                </c:pt>
                <c:pt idx="126">
                  <c:v>170296.87991512852</c:v>
                </c:pt>
                <c:pt idx="127">
                  <c:v>172241.00215325764</c:v>
                </c:pt>
                <c:pt idx="128">
                  <c:v>174197.04417091227</c:v>
                </c:pt>
                <c:pt idx="129">
                  <c:v>176165.07905050521</c:v>
                </c:pt>
                <c:pt idx="130">
                  <c:v>178145.18032253132</c:v>
                </c:pt>
                <c:pt idx="131">
                  <c:v>180137.42196831471</c:v>
                </c:pt>
                <c:pt idx="132">
                  <c:v>182141.87842277298</c:v>
                </c:pt>
                <c:pt idx="133">
                  <c:v>184158.62457719818</c:v>
                </c:pt>
                <c:pt idx="134">
                  <c:v>186187.73578205498</c:v>
                </c:pt>
                <c:pt idx="135">
                  <c:v>188229.28784979598</c:v>
                </c:pt>
                <c:pt idx="136">
                  <c:v>190283.35705769414</c:v>
                </c:pt>
                <c:pt idx="137">
                  <c:v>192350.02015069278</c:v>
                </c:pt>
                <c:pt idx="138">
                  <c:v>194429.35434427293</c:v>
                </c:pt>
                <c:pt idx="139">
                  <c:v>196521.43732733824</c:v>
                </c:pt>
                <c:pt idx="140">
                  <c:v>198626.34726511769</c:v>
                </c:pt>
                <c:pt idx="141">
                  <c:v>200744.16280208598</c:v>
                </c:pt>
                <c:pt idx="142">
                  <c:v>202874.96306490191</c:v>
                </c:pt>
                <c:pt idx="143">
                  <c:v>205018.82766536469</c:v>
                </c:pt>
                <c:pt idx="144">
                  <c:v>207175.83670338849</c:v>
                </c:pt>
                <c:pt idx="145">
                  <c:v>209346.07076999513</c:v>
                </c:pt>
                <c:pt idx="146">
                  <c:v>211529.61095032515</c:v>
                </c:pt>
                <c:pt idx="147">
                  <c:v>213726.53882666738</c:v>
                </c:pt>
                <c:pt idx="148">
                  <c:v>215936.93648150703</c:v>
                </c:pt>
                <c:pt idx="149">
                  <c:v>218160.88650059243</c:v>
                </c:pt>
                <c:pt idx="150">
                  <c:v>220398.47197602072</c:v>
                </c:pt>
                <c:pt idx="151">
                  <c:v>222649.77650934234</c:v>
                </c:pt>
                <c:pt idx="152">
                  <c:v>224914.88421468457</c:v>
                </c:pt>
                <c:pt idx="153">
                  <c:v>227193.87972189425</c:v>
                </c:pt>
                <c:pt idx="154">
                  <c:v>229486.84817969974</c:v>
                </c:pt>
                <c:pt idx="155">
                  <c:v>231793.87525889228</c:v>
                </c:pt>
                <c:pt idx="156">
                  <c:v>234115.04715552687</c:v>
                </c:pt>
                <c:pt idx="157">
                  <c:v>236450.45059414278</c:v>
                </c:pt>
                <c:pt idx="158">
                  <c:v>238800.1728310037</c:v>
                </c:pt>
                <c:pt idx="159">
                  <c:v>241164.30165735795</c:v>
                </c:pt>
                <c:pt idx="160">
                  <c:v>243542.92540271854</c:v>
                </c:pt>
                <c:pt idx="161">
                  <c:v>245936.1329381633</c:v>
                </c:pt>
                <c:pt idx="162">
                  <c:v>248344.01367965541</c:v>
                </c:pt>
                <c:pt idx="163">
                  <c:v>250766.65759138417</c:v>
                </c:pt>
                <c:pt idx="164">
                  <c:v>253204.15518912621</c:v>
                </c:pt>
                <c:pt idx="165">
                  <c:v>255656.59754362749</c:v>
                </c:pt>
                <c:pt idx="166">
                  <c:v>258124.07628400583</c:v>
                </c:pt>
                <c:pt idx="167">
                  <c:v>260606.68360117445</c:v>
                </c:pt>
                <c:pt idx="168">
                  <c:v>263104.51225128642</c:v>
                </c:pt>
                <c:pt idx="169">
                  <c:v>265617.65555920021</c:v>
                </c:pt>
                <c:pt idx="170">
                  <c:v>268146.2074219666</c:v>
                </c:pt>
                <c:pt idx="171">
                  <c:v>270690.26231233682</c:v>
                </c:pt>
                <c:pt idx="172">
                  <c:v>273249.91528229241</c:v>
                </c:pt>
                <c:pt idx="173">
                  <c:v>275825.26196659647</c:v>
                </c:pt>
                <c:pt idx="174">
                  <c:v>278416.39858636685</c:v>
                </c:pt>
                <c:pt idx="175">
                  <c:v>281023.4219526712</c:v>
                </c:pt>
                <c:pt idx="176">
                  <c:v>283646.42947014398</c:v>
                </c:pt>
                <c:pt idx="177">
                  <c:v>286285.5191406259</c:v>
                </c:pt>
                <c:pt idx="178">
                  <c:v>288940.78956682538</c:v>
                </c:pt>
                <c:pt idx="179">
                  <c:v>291612.3399560026</c:v>
                </c:pt>
                <c:pt idx="180">
                  <c:v>294300.27012367611</c:v>
                </c:pt>
                <c:pt idx="181">
                  <c:v>297004.68049735227</c:v>
                </c:pt>
                <c:pt idx="182">
                  <c:v>299725.6721202773</c:v>
                </c:pt>
                <c:pt idx="183">
                  <c:v>302463.34665521269</c:v>
                </c:pt>
                <c:pt idx="184">
                  <c:v>305217.80638823338</c:v>
                </c:pt>
                <c:pt idx="185">
                  <c:v>307989.15423254954</c:v>
                </c:pt>
                <c:pt idx="186">
                  <c:v>310777.49373235158</c:v>
                </c:pt>
                <c:pt idx="187">
                  <c:v>313582.92906667892</c:v>
                </c:pt>
                <c:pt idx="188">
                  <c:v>316405.56505331217</c:v>
                </c:pt>
                <c:pt idx="189">
                  <c:v>319245.50715268956</c:v>
                </c:pt>
                <c:pt idx="190">
                  <c:v>322102.86147184711</c:v>
                </c:pt>
                <c:pt idx="191">
                  <c:v>324977.73476838309</c:v>
                </c:pt>
                <c:pt idx="192">
                  <c:v>327870.23445444665</c:v>
                </c:pt>
                <c:pt idx="193">
                  <c:v>330780.46860075108</c:v>
                </c:pt>
                <c:pt idx="194">
                  <c:v>333708.54594061157</c:v>
                </c:pt>
                <c:pt idx="195">
                  <c:v>336654.57587400777</c:v>
                </c:pt>
                <c:pt idx="196">
                  <c:v>339618.66847167112</c:v>
                </c:pt>
                <c:pt idx="197">
                  <c:v>342600.93447919749</c:v>
                </c:pt>
                <c:pt idx="198">
                  <c:v>345601.48532118485</c:v>
                </c:pt>
                <c:pt idx="199">
                  <c:v>348620.4331053964</c:v>
                </c:pt>
                <c:pt idx="200">
                  <c:v>351657.89062694914</c:v>
                </c:pt>
                <c:pt idx="201">
                  <c:v>354713.97137252806</c:v>
                </c:pt>
                <c:pt idx="202">
                  <c:v>357788.78952462651</c:v>
                </c:pt>
                <c:pt idx="203">
                  <c:v>360882.45996581216</c:v>
                </c:pt>
                <c:pt idx="204">
                  <c:v>363995.09828301938</c:v>
                </c:pt>
                <c:pt idx="205">
                  <c:v>367126.8207718677</c:v>
                </c:pt>
                <c:pt idx="206">
                  <c:v>370277.74444100709</c:v>
                </c:pt>
                <c:pt idx="207">
                  <c:v>373447.98701648955</c:v>
                </c:pt>
                <c:pt idx="208">
                  <c:v>376637.66694616765</c:v>
                </c:pt>
                <c:pt idx="209">
                  <c:v>379846.90340412012</c:v>
                </c:pt>
                <c:pt idx="210">
                  <c:v>383075.81629510428</c:v>
                </c:pt>
                <c:pt idx="211">
                  <c:v>386324.52625903621</c:v>
                </c:pt>
                <c:pt idx="212">
                  <c:v>389593.15467549802</c:v>
                </c:pt>
                <c:pt idx="213">
                  <c:v>392881.82366827287</c:v>
                </c:pt>
                <c:pt idx="214">
                  <c:v>396190.65610990778</c:v>
                </c:pt>
                <c:pt idx="215">
                  <c:v>399519.77562630462</c:v>
                </c:pt>
                <c:pt idx="216">
                  <c:v>402869.30660133879</c:v>
                </c:pt>
                <c:pt idx="217">
                  <c:v>406239.37418150675</c:v>
                </c:pt>
                <c:pt idx="218">
                  <c:v>409630.10428060172</c:v>
                </c:pt>
                <c:pt idx="219">
                  <c:v>413041.62358441798</c:v>
                </c:pt>
                <c:pt idx="220">
                  <c:v>416474.05955548439</c:v>
                </c:pt>
                <c:pt idx="221">
                  <c:v>419927.54043782654</c:v>
                </c:pt>
                <c:pt idx="222">
                  <c:v>423402.19526175823</c:v>
                </c:pt>
                <c:pt idx="223">
                  <c:v>426898.1538487025</c:v>
                </c:pt>
                <c:pt idx="224">
                  <c:v>430415.54681604187</c:v>
                </c:pt>
                <c:pt idx="225">
                  <c:v>433954.50558199873</c:v>
                </c:pt>
                <c:pt idx="226">
                  <c:v>437515.16237054532</c:v>
                </c:pt>
                <c:pt idx="227">
                  <c:v>441097.65021634393</c:v>
                </c:pt>
                <c:pt idx="228">
                  <c:v>444702.10296971741</c:v>
                </c:pt>
                <c:pt idx="229">
                  <c:v>448328.65530165017</c:v>
                </c:pt>
                <c:pt idx="230">
                  <c:v>451977.44270881976</c:v>
                </c:pt>
                <c:pt idx="231">
                  <c:v>455648.60151865939</c:v>
                </c:pt>
                <c:pt idx="232">
                  <c:v>459342.26889445144</c:v>
                </c:pt>
                <c:pt idx="233">
                  <c:v>463058.58284045215</c:v>
                </c:pt>
                <c:pt idx="234">
                  <c:v>466797.68220704788</c:v>
                </c:pt>
                <c:pt idx="235">
                  <c:v>470559.70669594291</c:v>
                </c:pt>
                <c:pt idx="236">
                  <c:v>474344.79686537886</c:v>
                </c:pt>
                <c:pt idx="237">
                  <c:v>478153.09413538646</c:v>
                </c:pt>
                <c:pt idx="238">
                  <c:v>481984.7407930693</c:v>
                </c:pt>
                <c:pt idx="239">
                  <c:v>485839.87999792001</c:v>
                </c:pt>
                <c:pt idx="240">
                  <c:v>489718.65578716894</c:v>
                </c:pt>
                <c:pt idx="241">
                  <c:v>493621.21308116586</c:v>
                </c:pt>
                <c:pt idx="242">
                  <c:v>497547.69768879452</c:v>
                </c:pt>
                <c:pt idx="243">
                  <c:v>501498.25631292036</c:v>
                </c:pt>
                <c:pt idx="244">
                  <c:v>505473.03655587172</c:v>
                </c:pt>
                <c:pt idx="245">
                  <c:v>509472.18692495464</c:v>
                </c:pt>
                <c:pt idx="246">
                  <c:v>513495.8568380014</c:v>
                </c:pt>
                <c:pt idx="247">
                  <c:v>517544.19662895316</c:v>
                </c:pt>
                <c:pt idx="248">
                  <c:v>521617.3575534767</c:v>
                </c:pt>
                <c:pt idx="249">
                  <c:v>525715.49179461587</c:v>
                </c:pt>
                <c:pt idx="250">
                  <c:v>529838.75246847735</c:v>
                </c:pt>
                <c:pt idx="251">
                  <c:v>533987.29362995154</c:v>
                </c:pt>
                <c:pt idx="252">
                  <c:v>538161.2702784685</c:v>
                </c:pt>
                <c:pt idx="253">
                  <c:v>542360.83836378867</c:v>
                </c:pt>
                <c:pt idx="254">
                  <c:v>546586.15479183022</c:v>
                </c:pt>
                <c:pt idx="255">
                  <c:v>550837.37743053073</c:v>
                </c:pt>
                <c:pt idx="256">
                  <c:v>555114.66511574597</c:v>
                </c:pt>
                <c:pt idx="257">
                  <c:v>559418.17765718431</c:v>
                </c:pt>
                <c:pt idx="258">
                  <c:v>563748.0758443774</c:v>
                </c:pt>
                <c:pt idx="259">
                  <c:v>568104.5214526878</c:v>
                </c:pt>
                <c:pt idx="260">
                  <c:v>572487.6772493535</c:v>
                </c:pt>
                <c:pt idx="261">
                  <c:v>576897.70699956873</c:v>
                </c:pt>
                <c:pt idx="262">
                  <c:v>581334.77547260327</c:v>
                </c:pt>
                <c:pt idx="263">
                  <c:v>585799.04844795819</c:v>
                </c:pt>
                <c:pt idx="264">
                  <c:v>590290.69272155978</c:v>
                </c:pt>
                <c:pt idx="265">
                  <c:v>594809.87611199182</c:v>
                </c:pt>
                <c:pt idx="266">
                  <c:v>599356.76746676513</c:v>
                </c:pt>
                <c:pt idx="267">
                  <c:v>603931.53666862671</c:v>
                </c:pt>
                <c:pt idx="268">
                  <c:v>608534.35464190645</c:v>
                </c:pt>
                <c:pt idx="269">
                  <c:v>613165.3933589037</c:v>
                </c:pt>
                <c:pt idx="270">
                  <c:v>617824.8258463121</c:v>
                </c:pt>
                <c:pt idx="271">
                  <c:v>622512.8261916847</c:v>
                </c:pt>
                <c:pt idx="272">
                  <c:v>627229.56954993808</c:v>
                </c:pt>
                <c:pt idx="273">
                  <c:v>631975.23214989668</c:v>
                </c:pt>
                <c:pt idx="274">
                  <c:v>636749.99130087695</c:v>
                </c:pt>
                <c:pt idx="275">
                  <c:v>641554.02539931203</c:v>
                </c:pt>
                <c:pt idx="276">
                  <c:v>646387.5139354174</c:v>
                </c:pt>
                <c:pt idx="277">
                  <c:v>651250.63749989681</c:v>
                </c:pt>
                <c:pt idx="278">
                  <c:v>656143.57779068954</c:v>
                </c:pt>
                <c:pt idx="279">
                  <c:v>661066.51761975919</c:v>
                </c:pt>
                <c:pt idx="280">
                  <c:v>666019.64091992402</c:v>
                </c:pt>
                <c:pt idx="281">
                  <c:v>671003.13275172876</c:v>
                </c:pt>
                <c:pt idx="282">
                  <c:v>676017.17931035953</c:v>
                </c:pt>
                <c:pt idx="283">
                  <c:v>681061.96793259995</c:v>
                </c:pt>
                <c:pt idx="284">
                  <c:v>686137.68710383086</c:v>
                </c:pt>
                <c:pt idx="285">
                  <c:v>691244.52646507241</c:v>
                </c:pt>
                <c:pt idx="286">
                  <c:v>696382.67682006967</c:v>
                </c:pt>
                <c:pt idx="287">
                  <c:v>701552.33014242118</c:v>
                </c:pt>
                <c:pt idx="288">
                  <c:v>706753.67958275194</c:v>
                </c:pt>
                <c:pt idx="289">
                  <c:v>711986.9194759297</c:v>
                </c:pt>
                <c:pt idx="290">
                  <c:v>717252.24534832593</c:v>
                </c:pt>
                <c:pt idx="291">
                  <c:v>722549.85392512113</c:v>
                </c:pt>
                <c:pt idx="292">
                  <c:v>727879.94313765492</c:v>
                </c:pt>
                <c:pt idx="293">
                  <c:v>733242.71213082119</c:v>
                </c:pt>
                <c:pt idx="294">
                  <c:v>738638.36127050861</c:v>
                </c:pt>
                <c:pt idx="295">
                  <c:v>744067.09215108701</c:v>
                </c:pt>
                <c:pt idx="296">
                  <c:v>749529.10760293913</c:v>
                </c:pt>
                <c:pt idx="297">
                  <c:v>755024.61170003901</c:v>
                </c:pt>
                <c:pt idx="298">
                  <c:v>760553.80976757675</c:v>
                </c:pt>
                <c:pt idx="299">
                  <c:v>766116.90838962968</c:v>
                </c:pt>
                <c:pt idx="300">
                  <c:v>771714.11541688116</c:v>
                </c:pt>
                <c:pt idx="301">
                  <c:v>777345.6399743862</c:v>
                </c:pt>
                <c:pt idx="302">
                  <c:v>783011.69246938475</c:v>
                </c:pt>
                <c:pt idx="303">
                  <c:v>788712.48459916341</c:v>
                </c:pt>
                <c:pt idx="304">
                  <c:v>794448.22935896448</c:v>
                </c:pt>
                <c:pt idx="305">
                  <c:v>800219.14104994445</c:v>
                </c:pt>
                <c:pt idx="306">
                  <c:v>806025.43528718024</c:v>
                </c:pt>
                <c:pt idx="307">
                  <c:v>811867.3290077257</c:v>
                </c:pt>
                <c:pt idx="308">
                  <c:v>817745.04047871637</c:v>
                </c:pt>
                <c:pt idx="309">
                  <c:v>823658.7893055249</c:v>
                </c:pt>
                <c:pt idx="310">
                  <c:v>829608.79643996572</c:v>
                </c:pt>
                <c:pt idx="311">
                  <c:v>835595.28418855043</c:v>
                </c:pt>
                <c:pt idx="312">
                  <c:v>841618.47622079379</c:v>
                </c:pt>
                <c:pt idx="313">
                  <c:v>847678.59757757036</c:v>
                </c:pt>
                <c:pt idx="314">
                  <c:v>853775.87467952282</c:v>
                </c:pt>
                <c:pt idx="315">
                  <c:v>859910.53533552133</c:v>
                </c:pt>
                <c:pt idx="316">
                  <c:v>866082.8087511753</c:v>
                </c:pt>
                <c:pt idx="317">
                  <c:v>872292.92553739657</c:v>
                </c:pt>
                <c:pt idx="318">
                  <c:v>878541.11771901615</c:v>
                </c:pt>
                <c:pt idx="319">
                  <c:v>884827.61874345306</c:v>
                </c:pt>
                <c:pt idx="320">
                  <c:v>891152.66348943615</c:v>
                </c:pt>
                <c:pt idx="321">
                  <c:v>897516.48827578011</c:v>
                </c:pt>
                <c:pt idx="322">
                  <c:v>903919.33087021485</c:v>
                </c:pt>
                <c:pt idx="323">
                  <c:v>910361.4304982688</c:v>
                </c:pt>
                <c:pt idx="324">
                  <c:v>916843.02785220742</c:v>
                </c:pt>
                <c:pt idx="325">
                  <c:v>923364.36510002555</c:v>
                </c:pt>
                <c:pt idx="326">
                  <c:v>929925.68589449581</c:v>
                </c:pt>
                <c:pt idx="327">
                  <c:v>936527.23538227158</c:v>
                </c:pt>
                <c:pt idx="328">
                  <c:v>943169.2602130468</c:v>
                </c:pt>
                <c:pt idx="329">
                  <c:v>949852.00854877103</c:v>
                </c:pt>
                <c:pt idx="330">
                  <c:v>956575.73007292137</c:v>
                </c:pt>
                <c:pt idx="331">
                  <c:v>963340.67599983152</c:v>
                </c:pt>
                <c:pt idx="332">
                  <c:v>970147.0990840774</c:v>
                </c:pt>
                <c:pt idx="333">
                  <c:v>976995.253629921</c:v>
                </c:pt>
                <c:pt idx="334">
                  <c:v>983885.3955008114</c:v>
                </c:pt>
                <c:pt idx="335">
                  <c:v>990817.78212894488</c:v>
                </c:pt>
                <c:pt idx="336">
                  <c:v>997792.67252488283</c:v>
                </c:pt>
                <c:pt idx="337">
                  <c:v>1004810.3272872292</c:v>
                </c:pt>
                <c:pt idx="338">
                  <c:v>1011871.0086123672</c:v>
                </c:pt>
                <c:pt idx="339">
                  <c:v>1018974.9803042553</c:v>
                </c:pt>
                <c:pt idx="340">
                  <c:v>1026122.5077842836</c:v>
                </c:pt>
                <c:pt idx="341">
                  <c:v>1033313.8581011911</c:v>
                </c:pt>
                <c:pt idx="342">
                  <c:v>1040549.2999410426</c:v>
                </c:pt>
                <c:pt idx="343">
                  <c:v>1047829.1036372676</c:v>
                </c:pt>
                <c:pt idx="344">
                  <c:v>1055153.5411807613</c:v>
                </c:pt>
                <c:pt idx="345">
                  <c:v>1062522.8862300457</c:v>
                </c:pt>
                <c:pt idx="346">
                  <c:v>1069937.4141214951</c:v>
                </c:pt>
                <c:pt idx="347">
                  <c:v>1077397.4018796231</c:v>
                </c:pt>
                <c:pt idx="348">
                  <c:v>1084903.1282274323</c:v>
                </c:pt>
                <c:pt idx="349">
                  <c:v>1092454.8735968287</c:v>
                </c:pt>
                <c:pt idx="350">
                  <c:v>1100052.9201390992</c:v>
                </c:pt>
                <c:pt idx="351">
                  <c:v>1107697.5517354535</c:v>
                </c:pt>
                <c:pt idx="352">
                  <c:v>1115389.0540076301</c:v>
                </c:pt>
                <c:pt idx="353">
                  <c:v>1123127.7143285684</c:v>
                </c:pt>
                <c:pt idx="354">
                  <c:v>1130913.8218331453</c:v>
                </c:pt>
                <c:pt idx="355">
                  <c:v>1138747.6674289783</c:v>
                </c:pt>
                <c:pt idx="356">
                  <c:v>1146629.5438072938</c:v>
                </c:pt>
                <c:pt idx="357">
                  <c:v>1154559.7454538636</c:v>
                </c:pt>
                <c:pt idx="358">
                  <c:v>1162538.5686600073</c:v>
                </c:pt>
                <c:pt idx="359">
                  <c:v>1170566.3115336623</c:v>
                </c:pt>
                <c:pt idx="360">
                  <c:v>1178643.2740105216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58-40DF-9F22-4024EE1FF3A7}"/>
            </c:ext>
          </c:extLst>
        </c:ser>
        <c:ser>
          <c:idx val="3"/>
          <c:order val="3"/>
          <c:tx>
            <c:strRef>
              <c:f>AUXILIAR!$J$1</c:f>
              <c:strCache>
                <c:ptCount val="1"/>
                <c:pt idx="0">
                  <c:v>Nominal (sem reinvest)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AUXILIAR!$J$2:$J$362</c:f>
              <c:numCache>
                <c:formatCode>"R$"\ #,##0.00</c:formatCode>
                <c:ptCount val="361"/>
                <c:pt idx="0" formatCode="General">
                  <c:v>0</c:v>
                </c:pt>
                <c:pt idx="1">
                  <c:v>900</c:v>
                </c:pt>
                <c:pt idx="2">
                  <c:v>1800</c:v>
                </c:pt>
                <c:pt idx="3">
                  <c:v>2700</c:v>
                </c:pt>
                <c:pt idx="4">
                  <c:v>3600</c:v>
                </c:pt>
                <c:pt idx="5">
                  <c:v>4500</c:v>
                </c:pt>
                <c:pt idx="6">
                  <c:v>5400</c:v>
                </c:pt>
                <c:pt idx="7">
                  <c:v>6300</c:v>
                </c:pt>
                <c:pt idx="8">
                  <c:v>7200</c:v>
                </c:pt>
                <c:pt idx="9">
                  <c:v>8100</c:v>
                </c:pt>
                <c:pt idx="10">
                  <c:v>9000</c:v>
                </c:pt>
                <c:pt idx="11">
                  <c:v>9900</c:v>
                </c:pt>
                <c:pt idx="12">
                  <c:v>10800</c:v>
                </c:pt>
                <c:pt idx="13">
                  <c:v>11700</c:v>
                </c:pt>
                <c:pt idx="14">
                  <c:v>12600</c:v>
                </c:pt>
                <c:pt idx="15">
                  <c:v>13500</c:v>
                </c:pt>
                <c:pt idx="16">
                  <c:v>14400</c:v>
                </c:pt>
                <c:pt idx="17">
                  <c:v>15300</c:v>
                </c:pt>
                <c:pt idx="18">
                  <c:v>16200</c:v>
                </c:pt>
                <c:pt idx="19">
                  <c:v>17100</c:v>
                </c:pt>
                <c:pt idx="20">
                  <c:v>18000</c:v>
                </c:pt>
                <c:pt idx="21">
                  <c:v>18900</c:v>
                </c:pt>
                <c:pt idx="22">
                  <c:v>19800</c:v>
                </c:pt>
                <c:pt idx="23">
                  <c:v>20700</c:v>
                </c:pt>
                <c:pt idx="24">
                  <c:v>21600</c:v>
                </c:pt>
                <c:pt idx="25">
                  <c:v>22500</c:v>
                </c:pt>
                <c:pt idx="26">
                  <c:v>23400</c:v>
                </c:pt>
                <c:pt idx="27">
                  <c:v>24300</c:v>
                </c:pt>
                <c:pt idx="28">
                  <c:v>25200</c:v>
                </c:pt>
                <c:pt idx="29">
                  <c:v>26100</c:v>
                </c:pt>
                <c:pt idx="30">
                  <c:v>27000</c:v>
                </c:pt>
                <c:pt idx="31">
                  <c:v>27900</c:v>
                </c:pt>
                <c:pt idx="32">
                  <c:v>28800</c:v>
                </c:pt>
                <c:pt idx="33">
                  <c:v>29700</c:v>
                </c:pt>
                <c:pt idx="34">
                  <c:v>30600</c:v>
                </c:pt>
                <c:pt idx="35">
                  <c:v>31500</c:v>
                </c:pt>
                <c:pt idx="36">
                  <c:v>32400</c:v>
                </c:pt>
                <c:pt idx="37">
                  <c:v>33300</c:v>
                </c:pt>
                <c:pt idx="38">
                  <c:v>34200</c:v>
                </c:pt>
                <c:pt idx="39">
                  <c:v>35100</c:v>
                </c:pt>
                <c:pt idx="40">
                  <c:v>36000</c:v>
                </c:pt>
                <c:pt idx="41">
                  <c:v>36900</c:v>
                </c:pt>
                <c:pt idx="42">
                  <c:v>37800</c:v>
                </c:pt>
                <c:pt idx="43">
                  <c:v>38700</c:v>
                </c:pt>
                <c:pt idx="44">
                  <c:v>39600</c:v>
                </c:pt>
                <c:pt idx="45">
                  <c:v>40500</c:v>
                </c:pt>
                <c:pt idx="46">
                  <c:v>41400</c:v>
                </c:pt>
                <c:pt idx="47">
                  <c:v>42300</c:v>
                </c:pt>
                <c:pt idx="48">
                  <c:v>43200</c:v>
                </c:pt>
                <c:pt idx="49">
                  <c:v>44100</c:v>
                </c:pt>
                <c:pt idx="50">
                  <c:v>45000</c:v>
                </c:pt>
                <c:pt idx="51">
                  <c:v>45900</c:v>
                </c:pt>
                <c:pt idx="52">
                  <c:v>46800</c:v>
                </c:pt>
                <c:pt idx="53">
                  <c:v>47700</c:v>
                </c:pt>
                <c:pt idx="54">
                  <c:v>48600</c:v>
                </c:pt>
                <c:pt idx="55">
                  <c:v>49500</c:v>
                </c:pt>
                <c:pt idx="56">
                  <c:v>50400</c:v>
                </c:pt>
                <c:pt idx="57">
                  <c:v>51300</c:v>
                </c:pt>
                <c:pt idx="58">
                  <c:v>52200</c:v>
                </c:pt>
                <c:pt idx="59">
                  <c:v>53100</c:v>
                </c:pt>
                <c:pt idx="60">
                  <c:v>54000</c:v>
                </c:pt>
                <c:pt idx="61">
                  <c:v>54900</c:v>
                </c:pt>
                <c:pt idx="62">
                  <c:v>55800</c:v>
                </c:pt>
                <c:pt idx="63">
                  <c:v>56700</c:v>
                </c:pt>
                <c:pt idx="64">
                  <c:v>57600</c:v>
                </c:pt>
                <c:pt idx="65">
                  <c:v>58500</c:v>
                </c:pt>
                <c:pt idx="66">
                  <c:v>59400</c:v>
                </c:pt>
                <c:pt idx="67">
                  <c:v>60300</c:v>
                </c:pt>
                <c:pt idx="68">
                  <c:v>61200</c:v>
                </c:pt>
                <c:pt idx="69">
                  <c:v>62100</c:v>
                </c:pt>
                <c:pt idx="70">
                  <c:v>63000</c:v>
                </c:pt>
                <c:pt idx="71">
                  <c:v>63900</c:v>
                </c:pt>
                <c:pt idx="72">
                  <c:v>64800</c:v>
                </c:pt>
                <c:pt idx="73">
                  <c:v>65700</c:v>
                </c:pt>
                <c:pt idx="74">
                  <c:v>66600</c:v>
                </c:pt>
                <c:pt idx="75">
                  <c:v>67500</c:v>
                </c:pt>
                <c:pt idx="76">
                  <c:v>68400</c:v>
                </c:pt>
                <c:pt idx="77">
                  <c:v>69300</c:v>
                </c:pt>
                <c:pt idx="78">
                  <c:v>70200</c:v>
                </c:pt>
                <c:pt idx="79">
                  <c:v>71100</c:v>
                </c:pt>
                <c:pt idx="80">
                  <c:v>72000</c:v>
                </c:pt>
                <c:pt idx="81">
                  <c:v>72900</c:v>
                </c:pt>
                <c:pt idx="82">
                  <c:v>73800</c:v>
                </c:pt>
                <c:pt idx="83">
                  <c:v>74700</c:v>
                </c:pt>
                <c:pt idx="84">
                  <c:v>75600</c:v>
                </c:pt>
                <c:pt idx="85">
                  <c:v>76500</c:v>
                </c:pt>
                <c:pt idx="86">
                  <c:v>77400</c:v>
                </c:pt>
                <c:pt idx="87">
                  <c:v>78300</c:v>
                </c:pt>
                <c:pt idx="88">
                  <c:v>79200</c:v>
                </c:pt>
                <c:pt idx="89">
                  <c:v>80100</c:v>
                </c:pt>
                <c:pt idx="90">
                  <c:v>81000</c:v>
                </c:pt>
                <c:pt idx="91">
                  <c:v>81900</c:v>
                </c:pt>
                <c:pt idx="92">
                  <c:v>82800</c:v>
                </c:pt>
                <c:pt idx="93">
                  <c:v>83700</c:v>
                </c:pt>
                <c:pt idx="94">
                  <c:v>84600</c:v>
                </c:pt>
                <c:pt idx="95">
                  <c:v>85500</c:v>
                </c:pt>
                <c:pt idx="96">
                  <c:v>86400</c:v>
                </c:pt>
                <c:pt idx="97">
                  <c:v>87300</c:v>
                </c:pt>
                <c:pt idx="98">
                  <c:v>88200</c:v>
                </c:pt>
                <c:pt idx="99">
                  <c:v>89100</c:v>
                </c:pt>
                <c:pt idx="100">
                  <c:v>90000</c:v>
                </c:pt>
                <c:pt idx="101">
                  <c:v>90900</c:v>
                </c:pt>
                <c:pt idx="102">
                  <c:v>91800</c:v>
                </c:pt>
                <c:pt idx="103">
                  <c:v>92700</c:v>
                </c:pt>
                <c:pt idx="104">
                  <c:v>93600</c:v>
                </c:pt>
                <c:pt idx="105">
                  <c:v>94500</c:v>
                </c:pt>
                <c:pt idx="106">
                  <c:v>95400</c:v>
                </c:pt>
                <c:pt idx="107">
                  <c:v>96300</c:v>
                </c:pt>
                <c:pt idx="108">
                  <c:v>97200</c:v>
                </c:pt>
                <c:pt idx="109">
                  <c:v>98100</c:v>
                </c:pt>
                <c:pt idx="110">
                  <c:v>99000</c:v>
                </c:pt>
                <c:pt idx="111">
                  <c:v>99900</c:v>
                </c:pt>
                <c:pt idx="112">
                  <c:v>100800</c:v>
                </c:pt>
                <c:pt idx="113">
                  <c:v>101700</c:v>
                </c:pt>
                <c:pt idx="114">
                  <c:v>102600</c:v>
                </c:pt>
                <c:pt idx="115">
                  <c:v>103500</c:v>
                </c:pt>
                <c:pt idx="116">
                  <c:v>104400</c:v>
                </c:pt>
                <c:pt idx="117">
                  <c:v>105300</c:v>
                </c:pt>
                <c:pt idx="118">
                  <c:v>106200</c:v>
                </c:pt>
                <c:pt idx="119">
                  <c:v>107100</c:v>
                </c:pt>
                <c:pt idx="120">
                  <c:v>108000</c:v>
                </c:pt>
                <c:pt idx="121">
                  <c:v>108900</c:v>
                </c:pt>
                <c:pt idx="122">
                  <c:v>109800</c:v>
                </c:pt>
                <c:pt idx="123">
                  <c:v>110700</c:v>
                </c:pt>
                <c:pt idx="124">
                  <c:v>111600</c:v>
                </c:pt>
                <c:pt idx="125">
                  <c:v>112500</c:v>
                </c:pt>
                <c:pt idx="126">
                  <c:v>113400</c:v>
                </c:pt>
                <c:pt idx="127">
                  <c:v>114300</c:v>
                </c:pt>
                <c:pt idx="128">
                  <c:v>115200</c:v>
                </c:pt>
                <c:pt idx="129">
                  <c:v>116100</c:v>
                </c:pt>
                <c:pt idx="130">
                  <c:v>117000</c:v>
                </c:pt>
                <c:pt idx="131">
                  <c:v>117900</c:v>
                </c:pt>
                <c:pt idx="132">
                  <c:v>118800</c:v>
                </c:pt>
                <c:pt idx="133">
                  <c:v>119700</c:v>
                </c:pt>
                <c:pt idx="134">
                  <c:v>120600</c:v>
                </c:pt>
                <c:pt idx="135">
                  <c:v>121500</c:v>
                </c:pt>
                <c:pt idx="136">
                  <c:v>122400</c:v>
                </c:pt>
                <c:pt idx="137">
                  <c:v>123300</c:v>
                </c:pt>
                <c:pt idx="138">
                  <c:v>124200</c:v>
                </c:pt>
                <c:pt idx="139">
                  <c:v>125100</c:v>
                </c:pt>
                <c:pt idx="140">
                  <c:v>126000</c:v>
                </c:pt>
                <c:pt idx="141">
                  <c:v>126900</c:v>
                </c:pt>
                <c:pt idx="142">
                  <c:v>127800</c:v>
                </c:pt>
                <c:pt idx="143">
                  <c:v>128700</c:v>
                </c:pt>
                <c:pt idx="144">
                  <c:v>129600</c:v>
                </c:pt>
                <c:pt idx="145">
                  <c:v>130500</c:v>
                </c:pt>
                <c:pt idx="146">
                  <c:v>131400</c:v>
                </c:pt>
                <c:pt idx="147">
                  <c:v>132300</c:v>
                </c:pt>
                <c:pt idx="148">
                  <c:v>133200</c:v>
                </c:pt>
                <c:pt idx="149">
                  <c:v>134100</c:v>
                </c:pt>
                <c:pt idx="150">
                  <c:v>135000</c:v>
                </c:pt>
                <c:pt idx="151">
                  <c:v>135900</c:v>
                </c:pt>
                <c:pt idx="152">
                  <c:v>136800</c:v>
                </c:pt>
                <c:pt idx="153">
                  <c:v>137700</c:v>
                </c:pt>
                <c:pt idx="154">
                  <c:v>138600</c:v>
                </c:pt>
                <c:pt idx="155">
                  <c:v>139500</c:v>
                </c:pt>
                <c:pt idx="156">
                  <c:v>140400</c:v>
                </c:pt>
                <c:pt idx="157">
                  <c:v>141300</c:v>
                </c:pt>
                <c:pt idx="158">
                  <c:v>142200</c:v>
                </c:pt>
                <c:pt idx="159">
                  <c:v>143100</c:v>
                </c:pt>
                <c:pt idx="160">
                  <c:v>144000</c:v>
                </c:pt>
                <c:pt idx="161">
                  <c:v>144900</c:v>
                </c:pt>
                <c:pt idx="162">
                  <c:v>145800</c:v>
                </c:pt>
                <c:pt idx="163">
                  <c:v>146700</c:v>
                </c:pt>
                <c:pt idx="164">
                  <c:v>147600</c:v>
                </c:pt>
                <c:pt idx="165">
                  <c:v>148500</c:v>
                </c:pt>
                <c:pt idx="166">
                  <c:v>149400</c:v>
                </c:pt>
                <c:pt idx="167">
                  <c:v>150300</c:v>
                </c:pt>
                <c:pt idx="168">
                  <c:v>151200</c:v>
                </c:pt>
                <c:pt idx="169">
                  <c:v>152100</c:v>
                </c:pt>
                <c:pt idx="170">
                  <c:v>153000</c:v>
                </c:pt>
                <c:pt idx="171">
                  <c:v>153900</c:v>
                </c:pt>
                <c:pt idx="172">
                  <c:v>154800</c:v>
                </c:pt>
                <c:pt idx="173">
                  <c:v>155700</c:v>
                </c:pt>
                <c:pt idx="174">
                  <c:v>156600</c:v>
                </c:pt>
                <c:pt idx="175">
                  <c:v>157500</c:v>
                </c:pt>
                <c:pt idx="176">
                  <c:v>158400</c:v>
                </c:pt>
                <c:pt idx="177">
                  <c:v>159300</c:v>
                </c:pt>
                <c:pt idx="178">
                  <c:v>160200</c:v>
                </c:pt>
                <c:pt idx="179">
                  <c:v>161100</c:v>
                </c:pt>
                <c:pt idx="180">
                  <c:v>162000</c:v>
                </c:pt>
                <c:pt idx="181">
                  <c:v>162900</c:v>
                </c:pt>
                <c:pt idx="182">
                  <c:v>163800</c:v>
                </c:pt>
                <c:pt idx="183">
                  <c:v>164700</c:v>
                </c:pt>
                <c:pt idx="184">
                  <c:v>165600</c:v>
                </c:pt>
                <c:pt idx="185">
                  <c:v>166500</c:v>
                </c:pt>
                <c:pt idx="186">
                  <c:v>167400</c:v>
                </c:pt>
                <c:pt idx="187">
                  <c:v>168300</c:v>
                </c:pt>
                <c:pt idx="188">
                  <c:v>169200</c:v>
                </c:pt>
                <c:pt idx="189">
                  <c:v>170100</c:v>
                </c:pt>
                <c:pt idx="190">
                  <c:v>171000</c:v>
                </c:pt>
                <c:pt idx="191">
                  <c:v>171900</c:v>
                </c:pt>
                <c:pt idx="192">
                  <c:v>172800</c:v>
                </c:pt>
                <c:pt idx="193">
                  <c:v>173700</c:v>
                </c:pt>
                <c:pt idx="194">
                  <c:v>174600</c:v>
                </c:pt>
                <c:pt idx="195">
                  <c:v>175500</c:v>
                </c:pt>
                <c:pt idx="196">
                  <c:v>176400</c:v>
                </c:pt>
                <c:pt idx="197">
                  <c:v>177300</c:v>
                </c:pt>
                <c:pt idx="198">
                  <c:v>178200</c:v>
                </c:pt>
                <c:pt idx="199">
                  <c:v>179100</c:v>
                </c:pt>
                <c:pt idx="200">
                  <c:v>180000</c:v>
                </c:pt>
                <c:pt idx="201">
                  <c:v>180900</c:v>
                </c:pt>
                <c:pt idx="202">
                  <c:v>181800</c:v>
                </c:pt>
                <c:pt idx="203">
                  <c:v>182700</c:v>
                </c:pt>
                <c:pt idx="204">
                  <c:v>183600</c:v>
                </c:pt>
                <c:pt idx="205">
                  <c:v>184500</c:v>
                </c:pt>
                <c:pt idx="206">
                  <c:v>185400</c:v>
                </c:pt>
                <c:pt idx="207">
                  <c:v>186300</c:v>
                </c:pt>
                <c:pt idx="208">
                  <c:v>187200</c:v>
                </c:pt>
                <c:pt idx="209">
                  <c:v>188100</c:v>
                </c:pt>
                <c:pt idx="210">
                  <c:v>189000</c:v>
                </c:pt>
                <c:pt idx="211">
                  <c:v>189900</c:v>
                </c:pt>
                <c:pt idx="212">
                  <c:v>190800</c:v>
                </c:pt>
                <c:pt idx="213">
                  <c:v>191700</c:v>
                </c:pt>
                <c:pt idx="214">
                  <c:v>192600</c:v>
                </c:pt>
                <c:pt idx="215">
                  <c:v>193500</c:v>
                </c:pt>
                <c:pt idx="216">
                  <c:v>194400</c:v>
                </c:pt>
                <c:pt idx="217">
                  <c:v>195300</c:v>
                </c:pt>
                <c:pt idx="218">
                  <c:v>196200</c:v>
                </c:pt>
                <c:pt idx="219">
                  <c:v>197100</c:v>
                </c:pt>
                <c:pt idx="220">
                  <c:v>198000</c:v>
                </c:pt>
                <c:pt idx="221">
                  <c:v>198900</c:v>
                </c:pt>
                <c:pt idx="222">
                  <c:v>199800</c:v>
                </c:pt>
                <c:pt idx="223">
                  <c:v>200700</c:v>
                </c:pt>
                <c:pt idx="224">
                  <c:v>201600</c:v>
                </c:pt>
                <c:pt idx="225">
                  <c:v>202500</c:v>
                </c:pt>
                <c:pt idx="226">
                  <c:v>203400</c:v>
                </c:pt>
                <c:pt idx="227">
                  <c:v>204300</c:v>
                </c:pt>
                <c:pt idx="228">
                  <c:v>205200</c:v>
                </c:pt>
                <c:pt idx="229">
                  <c:v>206100</c:v>
                </c:pt>
                <c:pt idx="230">
                  <c:v>207000</c:v>
                </c:pt>
                <c:pt idx="231">
                  <c:v>207900</c:v>
                </c:pt>
                <c:pt idx="232">
                  <c:v>208800</c:v>
                </c:pt>
                <c:pt idx="233">
                  <c:v>209700</c:v>
                </c:pt>
                <c:pt idx="234">
                  <c:v>210600</c:v>
                </c:pt>
                <c:pt idx="235">
                  <c:v>211500</c:v>
                </c:pt>
                <c:pt idx="236">
                  <c:v>212400</c:v>
                </c:pt>
                <c:pt idx="237">
                  <c:v>213300</c:v>
                </c:pt>
                <c:pt idx="238">
                  <c:v>214200</c:v>
                </c:pt>
                <c:pt idx="239">
                  <c:v>215100</c:v>
                </c:pt>
                <c:pt idx="240">
                  <c:v>216000</c:v>
                </c:pt>
                <c:pt idx="241">
                  <c:v>216900</c:v>
                </c:pt>
                <c:pt idx="242">
                  <c:v>217800</c:v>
                </c:pt>
                <c:pt idx="243">
                  <c:v>218700</c:v>
                </c:pt>
                <c:pt idx="244">
                  <c:v>219600</c:v>
                </c:pt>
                <c:pt idx="245">
                  <c:v>220500</c:v>
                </c:pt>
                <c:pt idx="246">
                  <c:v>221400</c:v>
                </c:pt>
                <c:pt idx="247">
                  <c:v>222300</c:v>
                </c:pt>
                <c:pt idx="248">
                  <c:v>223200</c:v>
                </c:pt>
                <c:pt idx="249">
                  <c:v>224100</c:v>
                </c:pt>
                <c:pt idx="250">
                  <c:v>225000</c:v>
                </c:pt>
                <c:pt idx="251">
                  <c:v>225900</c:v>
                </c:pt>
                <c:pt idx="252">
                  <c:v>226800</c:v>
                </c:pt>
                <c:pt idx="253">
                  <c:v>227700</c:v>
                </c:pt>
                <c:pt idx="254">
                  <c:v>228600</c:v>
                </c:pt>
                <c:pt idx="255">
                  <c:v>229500</c:v>
                </c:pt>
                <c:pt idx="256">
                  <c:v>230400</c:v>
                </c:pt>
                <c:pt idx="257">
                  <c:v>231300</c:v>
                </c:pt>
                <c:pt idx="258">
                  <c:v>232200</c:v>
                </c:pt>
                <c:pt idx="259">
                  <c:v>233100</c:v>
                </c:pt>
                <c:pt idx="260">
                  <c:v>234000</c:v>
                </c:pt>
                <c:pt idx="261">
                  <c:v>234900</c:v>
                </c:pt>
                <c:pt idx="262">
                  <c:v>235800</c:v>
                </c:pt>
                <c:pt idx="263">
                  <c:v>236700</c:v>
                </c:pt>
                <c:pt idx="264">
                  <c:v>237600</c:v>
                </c:pt>
                <c:pt idx="265">
                  <c:v>238500</c:v>
                </c:pt>
                <c:pt idx="266">
                  <c:v>239400</c:v>
                </c:pt>
                <c:pt idx="267">
                  <c:v>240300</c:v>
                </c:pt>
                <c:pt idx="268">
                  <c:v>241200</c:v>
                </c:pt>
                <c:pt idx="269">
                  <c:v>242100</c:v>
                </c:pt>
                <c:pt idx="270">
                  <c:v>243000</c:v>
                </c:pt>
                <c:pt idx="271">
                  <c:v>243900</c:v>
                </c:pt>
                <c:pt idx="272">
                  <c:v>244800</c:v>
                </c:pt>
                <c:pt idx="273">
                  <c:v>245700</c:v>
                </c:pt>
                <c:pt idx="274">
                  <c:v>246600</c:v>
                </c:pt>
                <c:pt idx="275">
                  <c:v>247500</c:v>
                </c:pt>
                <c:pt idx="276">
                  <c:v>248400</c:v>
                </c:pt>
                <c:pt idx="277">
                  <c:v>249300</c:v>
                </c:pt>
                <c:pt idx="278">
                  <c:v>250200</c:v>
                </c:pt>
                <c:pt idx="279">
                  <c:v>251100</c:v>
                </c:pt>
                <c:pt idx="280">
                  <c:v>252000</c:v>
                </c:pt>
                <c:pt idx="281">
                  <c:v>252900</c:v>
                </c:pt>
                <c:pt idx="282">
                  <c:v>253800</c:v>
                </c:pt>
                <c:pt idx="283">
                  <c:v>254700</c:v>
                </c:pt>
                <c:pt idx="284">
                  <c:v>255600</c:v>
                </c:pt>
                <c:pt idx="285">
                  <c:v>256500</c:v>
                </c:pt>
                <c:pt idx="286">
                  <c:v>257400</c:v>
                </c:pt>
                <c:pt idx="287">
                  <c:v>258300</c:v>
                </c:pt>
                <c:pt idx="288">
                  <c:v>259200</c:v>
                </c:pt>
                <c:pt idx="289">
                  <c:v>260100</c:v>
                </c:pt>
                <c:pt idx="290">
                  <c:v>261000</c:v>
                </c:pt>
                <c:pt idx="291">
                  <c:v>261900</c:v>
                </c:pt>
                <c:pt idx="292">
                  <c:v>262800</c:v>
                </c:pt>
                <c:pt idx="293">
                  <c:v>263700</c:v>
                </c:pt>
                <c:pt idx="294">
                  <c:v>264600</c:v>
                </c:pt>
                <c:pt idx="295">
                  <c:v>265500</c:v>
                </c:pt>
                <c:pt idx="296">
                  <c:v>266400</c:v>
                </c:pt>
                <c:pt idx="297">
                  <c:v>267300</c:v>
                </c:pt>
                <c:pt idx="298">
                  <c:v>268200</c:v>
                </c:pt>
                <c:pt idx="299">
                  <c:v>269100</c:v>
                </c:pt>
                <c:pt idx="300">
                  <c:v>270000</c:v>
                </c:pt>
                <c:pt idx="301">
                  <c:v>270900</c:v>
                </c:pt>
                <c:pt idx="302">
                  <c:v>271800</c:v>
                </c:pt>
                <c:pt idx="303">
                  <c:v>272700</c:v>
                </c:pt>
                <c:pt idx="304">
                  <c:v>273600</c:v>
                </c:pt>
                <c:pt idx="305">
                  <c:v>274500</c:v>
                </c:pt>
                <c:pt idx="306">
                  <c:v>275400</c:v>
                </c:pt>
                <c:pt idx="307">
                  <c:v>276300</c:v>
                </c:pt>
                <c:pt idx="308">
                  <c:v>277200</c:v>
                </c:pt>
                <c:pt idx="309">
                  <c:v>278100</c:v>
                </c:pt>
                <c:pt idx="310">
                  <c:v>279000</c:v>
                </c:pt>
                <c:pt idx="311">
                  <c:v>279900</c:v>
                </c:pt>
                <c:pt idx="312">
                  <c:v>280800</c:v>
                </c:pt>
                <c:pt idx="313">
                  <c:v>281700</c:v>
                </c:pt>
                <c:pt idx="314">
                  <c:v>282600</c:v>
                </c:pt>
                <c:pt idx="315">
                  <c:v>283500</c:v>
                </c:pt>
                <c:pt idx="316">
                  <c:v>284400</c:v>
                </c:pt>
                <c:pt idx="317">
                  <c:v>285300</c:v>
                </c:pt>
                <c:pt idx="318">
                  <c:v>286200</c:v>
                </c:pt>
                <c:pt idx="319">
                  <c:v>287100</c:v>
                </c:pt>
                <c:pt idx="320">
                  <c:v>288000</c:v>
                </c:pt>
                <c:pt idx="321">
                  <c:v>288900</c:v>
                </c:pt>
                <c:pt idx="322">
                  <c:v>289800</c:v>
                </c:pt>
                <c:pt idx="323">
                  <c:v>290700</c:v>
                </c:pt>
                <c:pt idx="324">
                  <c:v>291600</c:v>
                </c:pt>
                <c:pt idx="325">
                  <c:v>292500</c:v>
                </c:pt>
                <c:pt idx="326">
                  <c:v>293400</c:v>
                </c:pt>
                <c:pt idx="327">
                  <c:v>294300</c:v>
                </c:pt>
                <c:pt idx="328">
                  <c:v>295200</c:v>
                </c:pt>
                <c:pt idx="329">
                  <c:v>296100</c:v>
                </c:pt>
                <c:pt idx="330">
                  <c:v>297000</c:v>
                </c:pt>
                <c:pt idx="331">
                  <c:v>297900</c:v>
                </c:pt>
                <c:pt idx="332">
                  <c:v>298800</c:v>
                </c:pt>
                <c:pt idx="333">
                  <c:v>299700</c:v>
                </c:pt>
                <c:pt idx="334">
                  <c:v>300600</c:v>
                </c:pt>
                <c:pt idx="335">
                  <c:v>301500</c:v>
                </c:pt>
                <c:pt idx="336">
                  <c:v>302400</c:v>
                </c:pt>
                <c:pt idx="337">
                  <c:v>303300</c:v>
                </c:pt>
                <c:pt idx="338">
                  <c:v>304200</c:v>
                </c:pt>
                <c:pt idx="339">
                  <c:v>305100</c:v>
                </c:pt>
                <c:pt idx="340">
                  <c:v>306000</c:v>
                </c:pt>
                <c:pt idx="341">
                  <c:v>306900</c:v>
                </c:pt>
                <c:pt idx="342">
                  <c:v>307800</c:v>
                </c:pt>
                <c:pt idx="343">
                  <c:v>308700</c:v>
                </c:pt>
                <c:pt idx="344">
                  <c:v>309600</c:v>
                </c:pt>
                <c:pt idx="345">
                  <c:v>310500</c:v>
                </c:pt>
                <c:pt idx="346">
                  <c:v>311400</c:v>
                </c:pt>
                <c:pt idx="347">
                  <c:v>312300</c:v>
                </c:pt>
                <c:pt idx="348">
                  <c:v>313200</c:v>
                </c:pt>
                <c:pt idx="349">
                  <c:v>314100</c:v>
                </c:pt>
                <c:pt idx="350">
                  <c:v>315000</c:v>
                </c:pt>
                <c:pt idx="351">
                  <c:v>315900</c:v>
                </c:pt>
                <c:pt idx="352">
                  <c:v>316800</c:v>
                </c:pt>
                <c:pt idx="353">
                  <c:v>317700</c:v>
                </c:pt>
                <c:pt idx="354">
                  <c:v>318600</c:v>
                </c:pt>
                <c:pt idx="355">
                  <c:v>319500</c:v>
                </c:pt>
                <c:pt idx="356">
                  <c:v>320400</c:v>
                </c:pt>
                <c:pt idx="357">
                  <c:v>321300</c:v>
                </c:pt>
                <c:pt idx="358">
                  <c:v>322200</c:v>
                </c:pt>
                <c:pt idx="359">
                  <c:v>323100</c:v>
                </c:pt>
                <c:pt idx="360">
                  <c:v>324000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58-40DF-9F22-4024EE1FF3A7}"/>
            </c:ext>
          </c:extLst>
        </c:ser>
        <c:ser>
          <c:idx val="4"/>
          <c:order val="4"/>
          <c:tx>
            <c:strRef>
              <c:f>AUXILIAR!$K$1</c:f>
              <c:strCache>
                <c:ptCount val="1"/>
                <c:pt idx="0">
                  <c:v>Real (sem reinvest)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AUXILIAR!$K$2:$K$362</c:f>
              <c:numCache>
                <c:formatCode>"R$"\ #,##0.00</c:formatCode>
                <c:ptCount val="361"/>
                <c:pt idx="0" formatCode="General">
                  <c:v>0</c:v>
                </c:pt>
                <c:pt idx="1">
                  <c:v>897.06324835670603</c:v>
                </c:pt>
                <c:pt idx="2">
                  <c:v>1788.2721590050785</c:v>
                </c:pt>
                <c:pt idx="3">
                  <c:v>2673.6553865049259</c:v>
                </c:pt>
                <c:pt idx="4">
                  <c:v>3553.2414607474275</c:v>
                </c:pt>
                <c:pt idx="5">
                  <c:v>4427.0587874636312</c:v>
                </c:pt>
                <c:pt idx="6">
                  <c:v>5295.1356487309677</c:v>
                </c:pt>
                <c:pt idx="7">
                  <c:v>6157.5002034777717</c:v>
                </c:pt>
                <c:pt idx="8">
                  <c:v>7014.18048798584</c:v>
                </c:pt>
                <c:pt idx="9">
                  <c:v>7865.2044163910041</c:v>
                </c:pt>
                <c:pt idx="10">
                  <c:v>8710.5997811817597</c:v>
                </c:pt>
                <c:pt idx="11">
                  <c:v>9550.3942536959257</c:v>
                </c:pt>
                <c:pt idx="12">
                  <c:v>10384.615384615379</c:v>
                </c:pt>
                <c:pt idx="13">
                  <c:v>11213.29060445882</c:v>
                </c:pt>
                <c:pt idx="14">
                  <c:v>12036.447224072637</c:v>
                </c:pt>
                <c:pt idx="15">
                  <c:v>12854.11243511983</c:v>
                </c:pt>
                <c:pt idx="16">
                  <c:v>13666.313310567022</c:v>
                </c:pt>
                <c:pt idx="17">
                  <c:v>14473.076805169556</c:v>
                </c:pt>
                <c:pt idx="18">
                  <c:v>15274.429755954707</c:v>
                </c:pt>
                <c:pt idx="19">
                  <c:v>16070.39888270297</c:v>
                </c:pt>
                <c:pt idx="20">
                  <c:v>16861.010788427491</c:v>
                </c:pt>
                <c:pt idx="21">
                  <c:v>17646.291959851605</c:v>
                </c:pt>
                <c:pt idx="22">
                  <c:v>18426.268767884481</c:v>
                </c:pt>
                <c:pt idx="23">
                  <c:v>19200.967468094947</c:v>
                </c:pt>
                <c:pt idx="24">
                  <c:v>19970.414201183408</c:v>
                </c:pt>
                <c:pt idx="25">
                  <c:v>20734.634993451949</c:v>
                </c:pt>
                <c:pt idx="26">
                  <c:v>21493.655757272558</c:v>
                </c:pt>
                <c:pt idx="27">
                  <c:v>22247.502291553537</c:v>
                </c:pt>
                <c:pt idx="28">
                  <c:v>22996.200282204114</c:v>
                </c:pt>
                <c:pt idx="29">
                  <c:v>23739.775302597111</c:v>
                </c:pt>
                <c:pt idx="30">
                  <c:v>24478.252814029962</c:v>
                </c:pt>
                <c:pt idx="31">
                  <c:v>25211.658166183792</c:v>
                </c:pt>
                <c:pt idx="32">
                  <c:v>25940.016597580739</c:v>
                </c:pt>
                <c:pt idx="33">
                  <c:v>26663.353236039497</c:v>
                </c:pt>
                <c:pt idx="34">
                  <c:v>27381.693099129025</c:v>
                </c:pt>
                <c:pt idx="35">
                  <c:v>28095.06109462052</c:v>
                </c:pt>
                <c:pt idx="36">
                  <c:v>28803.482020937594</c:v>
                </c:pt>
                <c:pt idx="37">
                  <c:v>29506.980567604682</c:v>
                </c:pt>
                <c:pt idx="38">
                  <c:v>30205.58131569366</c:v>
                </c:pt>
                <c:pt idx="39">
                  <c:v>30899.308738268788</c:v>
                </c:pt>
                <c:pt idx="40">
                  <c:v>31588.187200829805</c:v>
                </c:pt>
                <c:pt idx="41">
                  <c:v>32272.240961753349</c:v>
                </c:pt>
                <c:pt idx="42">
                  <c:v>32951.49417273263</c:v>
                </c:pt>
                <c:pt idx="43">
                  <c:v>33625.970879215332</c:v>
                </c:pt>
                <c:pt idx="44">
                  <c:v>34295.695020839907</c:v>
                </c:pt>
                <c:pt idx="45">
                  <c:v>34960.690431869953</c:v>
                </c:pt>
                <c:pt idx="46">
                  <c:v>35620.980841627097</c:v>
                </c:pt>
                <c:pt idx="47">
                  <c:v>36276.589874922072</c:v>
                </c:pt>
                <c:pt idx="48">
                  <c:v>36927.541052484077</c:v>
                </c:pt>
                <c:pt idx="49">
                  <c:v>37573.857791388473</c:v>
                </c:pt>
                <c:pt idx="50">
                  <c:v>38215.563405482855</c:v>
                </c:pt>
                <c:pt idx="51">
                  <c:v>38852.681105811331</c:v>
                </c:pt>
                <c:pt idx="52">
                  <c:v>39485.234001037235</c:v>
                </c:pt>
                <c:pt idx="53">
                  <c:v>40113.245097864135</c:v>
                </c:pt>
                <c:pt idx="54">
                  <c:v>40736.737301455141</c:v>
                </c:pt>
                <c:pt idx="55">
                  <c:v>41355.733415850686</c:v>
                </c:pt>
                <c:pt idx="56">
                  <c:v>41970.256144384475</c:v>
                </c:pt>
                <c:pt idx="57">
                  <c:v>42580.328090097988</c:v>
                </c:pt>
                <c:pt idx="58">
                  <c:v>43185.971756153238</c:v>
                </c:pt>
                <c:pt idx="59">
                  <c:v>43787.209546243881</c:v>
                </c:pt>
                <c:pt idx="60">
                  <c:v>44384.063765004888</c:v>
                </c:pt>
                <c:pt idx="61">
                  <c:v>44976.556618420247</c:v>
                </c:pt>
                <c:pt idx="62">
                  <c:v>45564.710214229526</c:v>
                </c:pt>
                <c:pt idx="63">
                  <c:v>46148.546562332427</c:v>
                </c:pt>
                <c:pt idx="64">
                  <c:v>46728.087575191974</c:v>
                </c:pt>
                <c:pt idx="65">
                  <c:v>47303.355068235978</c:v>
                </c:pt>
                <c:pt idx="66">
                  <c:v>47874.370760257094</c:v>
                </c:pt>
                <c:pt idx="67">
                  <c:v>48441.156273811095</c:v>
                </c:pt>
                <c:pt idx="68">
                  <c:v>49003.733135613722</c:v>
                </c:pt>
                <c:pt idx="69">
                  <c:v>49562.122776935903</c:v>
                </c:pt>
                <c:pt idx="70">
                  <c:v>50116.346533997428</c:v>
                </c:pt>
                <c:pt idx="71">
                  <c:v>50666.425648359109</c:v>
                </c:pt>
                <c:pt idx="72">
                  <c:v>51212.3812673133</c:v>
                </c:pt>
                <c:pt idx="73">
                  <c:v>51754.234444272959</c:v>
                </c:pt>
                <c:pt idx="74">
                  <c:v>52292.006139159181</c:v>
                </c:pt>
                <c:pt idx="75">
                  <c:v>52825.717218787096</c:v>
                </c:pt>
                <c:pt idx="76">
                  <c:v>53355.388457250418</c:v>
                </c:pt>
                <c:pt idx="77">
                  <c:v>53881.040536304274</c:v>
                </c:pt>
                <c:pt idx="78">
                  <c:v>54402.694045746663</c:v>
                </c:pt>
                <c:pt idx="79">
                  <c:v>54920.369483798429</c:v>
                </c:pt>
                <c:pt idx="80">
                  <c:v>55434.087257481551</c:v>
                </c:pt>
                <c:pt idx="81">
                  <c:v>55943.867682996177</c:v>
                </c:pt>
                <c:pt idx="82">
                  <c:v>56449.730986095979</c:v>
                </c:pt>
                <c:pt idx="83">
                  <c:v>56951.697302462133</c:v>
                </c:pt>
                <c:pt idx="84">
                  <c:v>57449.786678075776</c:v>
                </c:pt>
                <c:pt idx="85">
                  <c:v>57944.019069589034</c:v>
                </c:pt>
                <c:pt idx="86">
                  <c:v>58434.41434469448</c:v>
                </c:pt>
                <c:pt idx="87">
                  <c:v>58920.992282493266</c:v>
                </c:pt>
                <c:pt idx="88">
                  <c:v>59403.772573861774</c:v>
                </c:pt>
                <c:pt idx="89">
                  <c:v>59882.774821816653</c:v>
                </c:pt>
                <c:pt idx="90">
                  <c:v>60358.018541878671</c:v>
                </c:pt>
                <c:pt idx="91">
                  <c:v>60829.523162434933</c:v>
                </c:pt>
                <c:pt idx="92">
                  <c:v>61297.308025099774</c:v>
                </c:pt>
                <c:pt idx="93">
                  <c:v>61761.39238507409</c:v>
                </c:pt>
                <c:pt idx="94">
                  <c:v>62221.795411503503</c:v>
                </c:pt>
                <c:pt idx="95">
                  <c:v>62678.536187834783</c:v>
                </c:pt>
                <c:pt idx="96">
                  <c:v>63131.633712171155</c:v>
                </c:pt>
                <c:pt idx="97">
                  <c:v>63581.106897625941</c:v>
                </c:pt>
                <c:pt idx="98">
                  <c:v>64026.974572675041</c:v>
                </c:pt>
                <c:pt idx="99">
                  <c:v>64469.255481507855</c:v>
                </c:pt>
                <c:pt idx="100">
                  <c:v>64907.968284376897</c:v>
                </c:pt>
                <c:pt idx="101">
                  <c:v>65343.13155794597</c:v>
                </c:pt>
                <c:pt idx="102">
                  <c:v>65774.763795636973</c:v>
                </c:pt>
                <c:pt idx="103">
                  <c:v>66202.883407975416</c:v>
                </c:pt>
                <c:pt idx="104">
                  <c:v>66627.508722934479</c:v>
                </c:pt>
                <c:pt idx="105">
                  <c:v>67048.657986277671</c:v>
                </c:pt>
                <c:pt idx="106">
                  <c:v>67466.349361900255</c:v>
                </c:pt>
                <c:pt idx="107">
                  <c:v>67880.600932169211</c:v>
                </c:pt>
                <c:pt idx="108">
                  <c:v>68291.430698262018</c:v>
                </c:pt>
                <c:pt idx="109">
                  <c:v>68698.856580503809</c:v>
                </c:pt>
                <c:pt idx="110">
                  <c:v>69102.896418703385</c:v>
                </c:pt>
                <c:pt idx="111">
                  <c:v>69503.567972488032</c:v>
                </c:pt>
                <c:pt idx="112">
                  <c:v>69900.888921636622</c:v>
                </c:pt>
                <c:pt idx="113">
                  <c:v>70294.876866411738</c:v>
                </c:pt>
                <c:pt idx="114">
                  <c:v>70685.549327890374</c:v>
                </c:pt>
                <c:pt idx="115">
                  <c:v>71072.923748293237</c:v>
                </c:pt>
                <c:pt idx="116">
                  <c:v>71457.017491312843</c:v>
                </c:pt>
                <c:pt idx="117">
                  <c:v>71837.847842440329</c:v>
                </c:pt>
                <c:pt idx="118">
                  <c:v>72215.43200929086</c:v>
                </c:pt>
                <c:pt idx="119">
                  <c:v>72589.78712192786</c:v>
                </c:pt>
                <c:pt idx="120">
                  <c:v>72960.930233185878</c:v>
                </c:pt>
                <c:pt idx="121">
                  <c:v>73328.878318992196</c:v>
                </c:pt>
                <c:pt idx="122">
                  <c:v>73693.648278687149</c:v>
                </c:pt>
                <c:pt idx="123">
                  <c:v>74055.256935343234</c:v>
                </c:pt>
                <c:pt idx="124">
                  <c:v>74413.721036082919</c:v>
                </c:pt>
                <c:pt idx="125">
                  <c:v>74769.057252395025</c:v>
                </c:pt>
                <c:pt idx="126">
                  <c:v>75121.282180450246</c:v>
                </c:pt>
                <c:pt idx="127">
                  <c:v>75470.412341414994</c:v>
                </c:pt>
                <c:pt idx="128">
                  <c:v>75816.46418176424</c:v>
                </c:pt>
                <c:pt idx="129">
                  <c:v>76159.454073593006</c:v>
                </c:pt>
                <c:pt idx="130">
                  <c:v>76499.398314926715</c:v>
                </c:pt>
                <c:pt idx="131">
                  <c:v>76836.313130030263</c:v>
                </c:pt>
                <c:pt idx="132">
                  <c:v>77170.214669715802</c:v>
                </c:pt>
                <c:pt idx="133">
                  <c:v>77501.119011649382</c:v>
                </c:pt>
                <c:pt idx="134">
                  <c:v>77829.042160656318</c:v>
                </c:pt>
                <c:pt idx="135">
                  <c:v>78154.000049025417</c:v>
                </c:pt>
                <c:pt idx="136">
                  <c:v>78476.008536811962</c:v>
                </c:pt>
                <c:pt idx="137">
                  <c:v>78795.083412139342</c:v>
                </c:pt>
                <c:pt idx="138">
                  <c:v>79111.240391499785</c:v>
                </c:pt>
                <c:pt idx="139">
                  <c:v>79424.495120053602</c:v>
                </c:pt>
                <c:pt idx="140">
                  <c:v>79734.8631719275</c:v>
                </c:pt>
                <c:pt idx="141">
                  <c:v>80042.360050511386</c:v>
                </c:pt>
                <c:pt idx="142">
                  <c:v>80347.001188754351</c:v>
                </c:pt>
                <c:pt idx="143">
                  <c:v>80648.801949459201</c:v>
                </c:pt>
                <c:pt idx="144">
                  <c:v>80947.777625575982</c:v>
                </c:pt>
                <c:pt idx="145">
                  <c:v>81243.943440494171</c:v>
                </c:pt>
                <c:pt idx="146">
                  <c:v>81537.314548333932</c:v>
                </c:pt>
                <c:pt idx="147">
                  <c:v>81827.906034235988</c:v>
                </c:pt>
                <c:pt idx="148">
                  <c:v>82115.732914650478</c:v>
                </c:pt>
                <c:pt idx="149">
                  <c:v>82400.81013762462</c:v>
                </c:pt>
                <c:pt idx="150">
                  <c:v>82683.152583089191</c:v>
                </c:pt>
                <c:pt idx="151">
                  <c:v>82962.775063143927</c:v>
                </c:pt>
                <c:pt idx="152">
                  <c:v>83239.692322341842</c:v>
                </c:pt>
                <c:pt idx="153">
                  <c:v>83513.919037972155</c:v>
                </c:pt>
                <c:pt idx="154">
                  <c:v>83785.46982034239</c:v>
                </c:pt>
                <c:pt idx="155">
                  <c:v>84054.359213059244</c:v>
                </c:pt>
                <c:pt idx="156">
                  <c:v>84320.601693308272</c:v>
                </c:pt>
                <c:pt idx="157">
                  <c:v>84584.211672132471</c:v>
                </c:pt>
                <c:pt idx="158">
                  <c:v>84845.203494709916</c:v>
                </c:pt>
                <c:pt idx="159">
                  <c:v>85103.59144063</c:v>
                </c:pt>
                <c:pt idx="160">
                  <c:v>85359.389724168854</c:v>
                </c:pt>
                <c:pt idx="161">
                  <c:v>85612.61249456348</c:v>
                </c:pt>
                <c:pt idx="162">
                  <c:v>85863.273836284876</c:v>
                </c:pt>
                <c:pt idx="163">
                  <c:v>86111.387769310095</c:v>
                </c:pt>
                <c:pt idx="164">
                  <c:v>86356.96824939306</c:v>
                </c:pt>
                <c:pt idx="165">
                  <c:v>86600.029168334571</c:v>
                </c:pt>
                <c:pt idx="166">
                  <c:v>86840.584354250925</c:v>
                </c:pt>
                <c:pt idx="167">
                  <c:v>87078.64757184172</c:v>
                </c:pt>
                <c:pt idx="168">
                  <c:v>87314.232522656443</c:v>
                </c:pt>
                <c:pt idx="169">
                  <c:v>87547.352845360001</c:v>
                </c:pt>
                <c:pt idx="170">
                  <c:v>87778.022115997315</c:v>
                </c:pt>
                <c:pt idx="171">
                  <c:v>88006.25384825666</c:v>
                </c:pt>
                <c:pt idx="172">
                  <c:v>88232.061493732181</c:v>
                </c:pt>
                <c:pt idx="173">
                  <c:v>88455.458442185103</c:v>
                </c:pt>
                <c:pt idx="174">
                  <c:v>88676.458021804123</c:v>
                </c:pt>
                <c:pt idx="175">
                  <c:v>88895.073499464692</c:v>
                </c:pt>
                <c:pt idx="176">
                  <c:v>89111.31808098717</c:v>
                </c:pt>
                <c:pt idx="177">
                  <c:v>89325.204911394001</c:v>
                </c:pt>
                <c:pt idx="178">
                  <c:v>89536.747075165986</c:v>
                </c:pt>
                <c:pt idx="179">
                  <c:v>89745.957596497377</c:v>
                </c:pt>
                <c:pt idx="180">
                  <c:v>89952.849439549856</c:v>
                </c:pt>
                <c:pt idx="181">
                  <c:v>90157.435508705923</c:v>
                </c:pt>
                <c:pt idx="182">
                  <c:v>90359.728648820703</c:v>
                </c:pt>
                <c:pt idx="183">
                  <c:v>90559.74164547323</c:v>
                </c:pt>
                <c:pt idx="184">
                  <c:v>90757.487225216406</c:v>
                </c:pt>
                <c:pt idx="185">
                  <c:v>90952.978055826112</c:v>
                </c:pt>
                <c:pt idx="186">
                  <c:v>91146.226746549291</c:v>
                </c:pt>
                <c:pt idx="187">
                  <c:v>91337.245848351027</c:v>
                </c:pt>
                <c:pt idx="188">
                  <c:v>91526.047854160744</c:v>
                </c:pt>
                <c:pt idx="189">
                  <c:v>91712.645199117003</c:v>
                </c:pt>
                <c:pt idx="190">
                  <c:v>91897.050260812059</c:v>
                </c:pt>
                <c:pt idx="191">
                  <c:v>92079.275359534731</c:v>
                </c:pt>
                <c:pt idx="192">
                  <c:v>92259.332758512624</c:v>
                </c:pt>
                <c:pt idx="193">
                  <c:v>92437.23466415338</c:v>
                </c:pt>
                <c:pt idx="194">
                  <c:v>92612.993226284932</c:v>
                </c:pt>
                <c:pt idx="195">
                  <c:v>92786.620538394665</c:v>
                </c:pt>
                <c:pt idx="196">
                  <c:v>92958.128637867951</c:v>
                </c:pt>
                <c:pt idx="197">
                  <c:v>93127.529506225241</c:v>
                </c:pt>
                <c:pt idx="198">
                  <c:v>93294.835069358727</c:v>
                </c:pt>
                <c:pt idx="199">
                  <c:v>93460.057197767645</c:v>
                </c:pt>
                <c:pt idx="200">
                  <c:v>93623.207706792848</c:v>
                </c:pt>
                <c:pt idx="201">
                  <c:v>93784.29835685037</c:v>
                </c:pt>
                <c:pt idx="202">
                  <c:v>93943.340853664122</c:v>
                </c:pt>
                <c:pt idx="203">
                  <c:v>94100.346848497487</c:v>
                </c:pt>
                <c:pt idx="204">
                  <c:v>94255.327938384245</c:v>
                </c:pt>
                <c:pt idx="205">
                  <c:v>94408.295666358288</c:v>
                </c:pt>
                <c:pt idx="206">
                  <c:v>94559.261521682609</c:v>
                </c:pt>
                <c:pt idx="207">
                  <c:v>94708.236940077346</c:v>
                </c:pt>
                <c:pt idx="208">
                  <c:v>94855.233303946821</c:v>
                </c:pt>
                <c:pt idx="209">
                  <c:v>95000.261942605735</c:v>
                </c:pt>
                <c:pt idx="210">
                  <c:v>95143.334132504489</c:v>
                </c:pt>
                <c:pt idx="211">
                  <c:v>95284.46109745343</c:v>
                </c:pt>
                <c:pt idx="212">
                  <c:v>95423.654008846497</c:v>
                </c:pt>
                <c:pt idx="213">
                  <c:v>95560.923985883652</c:v>
                </c:pt>
                <c:pt idx="214">
                  <c:v>95696.282095792616</c:v>
                </c:pt>
                <c:pt idx="215">
                  <c:v>95829.739354049569</c:v>
                </c:pt>
                <c:pt idx="216">
                  <c:v>95961.306724599301</c:v>
                </c:pt>
                <c:pt idx="217">
                  <c:v>96090.9951200738</c:v>
                </c:pt>
                <c:pt idx="218">
                  <c:v>96218.815402010834</c:v>
                </c:pt>
                <c:pt idx="219">
                  <c:v>96344.778381070835</c:v>
                </c:pt>
                <c:pt idx="220">
                  <c:v>96468.894817253575</c:v>
                </c:pt>
                <c:pt idx="221">
                  <c:v>96591.175420113446</c:v>
                </c:pt>
                <c:pt idx="222">
                  <c:v>96711.630848974281</c:v>
                </c:pt>
                <c:pt idx="223">
                  <c:v>96830.271713142996</c:v>
                </c:pt>
                <c:pt idx="224">
                  <c:v>96947.108572122655</c:v>
                </c:pt>
                <c:pt idx="225">
                  <c:v>97062.151935824339</c:v>
                </c:pt>
                <c:pt idx="226">
                  <c:v>97175.41226477857</c:v>
                </c:pt>
                <c:pt idx="227">
                  <c:v>97286.899970345461</c:v>
                </c:pt>
                <c:pt idx="228">
                  <c:v>97396.625414924434</c:v>
                </c:pt>
                <c:pt idx="229">
                  <c:v>97504.598912162764</c:v>
                </c:pt>
                <c:pt idx="230">
                  <c:v>97610.830727163353</c:v>
                </c:pt>
                <c:pt idx="231">
                  <c:v>97715.331076691888</c:v>
                </c:pt>
                <c:pt idx="232">
                  <c:v>97818.110129382927</c:v>
                </c:pt>
                <c:pt idx="233">
                  <c:v>97919.178005945098</c:v>
                </c:pt>
                <c:pt idx="234">
                  <c:v>98018.54477936578</c:v>
                </c:pt>
                <c:pt idx="235">
                  <c:v>98116.220475114664</c:v>
                </c:pt>
                <c:pt idx="236">
                  <c:v>98212.215071346727</c:v>
                </c:pt>
                <c:pt idx="237">
                  <c:v>98306.538499104106</c:v>
                </c:pt>
                <c:pt idx="238">
                  <c:v>98399.20064251736</c:v>
                </c:pt>
                <c:pt idx="239">
                  <c:v>98490.211339006069</c:v>
                </c:pt>
                <c:pt idx="240">
                  <c:v>98579.580379478124</c:v>
                </c:pt>
                <c:pt idx="241">
                  <c:v>98667.317508528766</c:v>
                </c:pt>
                <c:pt idx="242">
                  <c:v>98753.432424638449</c:v>
                </c:pt>
                <c:pt idx="243">
                  <c:v>98837.934780370153</c:v>
                </c:pt>
                <c:pt idx="244">
                  <c:v>98920.834182565581</c:v>
                </c:pt>
                <c:pt idx="245">
                  <c:v>99002.140192541003</c:v>
                </c:pt>
                <c:pt idx="246">
                  <c:v>99081.862326281916</c:v>
                </c:pt>
                <c:pt idx="247">
                  <c:v>99160.010054637125</c:v>
                </c:pt>
                <c:pt idx="248">
                  <c:v>99236.592803511958</c:v>
                </c:pt>
                <c:pt idx="249">
                  <c:v>99311.619954060807</c:v>
                </c:pt>
                <c:pt idx="250">
                  <c:v>99385.100842878688</c:v>
                </c:pt>
                <c:pt idx="251">
                  <c:v>99457.04476219225</c:v>
                </c:pt>
                <c:pt idx="252">
                  <c:v>99527.460960050012</c:v>
                </c:pt>
                <c:pt idx="253">
                  <c:v>99596.358640511346</c:v>
                </c:pt>
                <c:pt idx="254">
                  <c:v>99663.746963835642</c:v>
                </c:pt>
                <c:pt idx="255">
                  <c:v>99729.635046669704</c:v>
                </c:pt>
                <c:pt idx="256">
                  <c:v>99794.03196223508</c:v>
                </c:pt>
                <c:pt idx="257">
                  <c:v>99856.946740514235</c:v>
                </c:pt>
                <c:pt idx="258">
                  <c:v>99918.388368436208</c:v>
                </c:pt>
                <c:pt idx="259">
                  <c:v>99978.365790061507</c:v>
                </c:pt>
                <c:pt idx="260">
                  <c:v>100036.88790676605</c:v>
                </c:pt>
                <c:pt idx="261">
                  <c:v>100093.96357742454</c:v>
                </c:pt>
                <c:pt idx="262">
                  <c:v>100149.60161859308</c:v>
                </c:pt>
                <c:pt idx="263">
                  <c:v>100203.81080469105</c:v>
                </c:pt>
                <c:pt idx="264">
                  <c:v>100256.59986818217</c:v>
                </c:pt>
                <c:pt idx="265">
                  <c:v>100307.97749975485</c:v>
                </c:pt>
                <c:pt idx="266">
                  <c:v>100357.95234850193</c:v>
                </c:pt>
                <c:pt idx="267">
                  <c:v>100406.53302209955</c:v>
                </c:pt>
                <c:pt idx="268">
                  <c:v>100453.72808698539</c:v>
                </c:pt>
                <c:pt idx="269">
                  <c:v>100499.54606853603</c:v>
                </c:pt>
                <c:pt idx="270">
                  <c:v>100543.99545124391</c:v>
                </c:pt>
                <c:pt idx="271">
                  <c:v>100587.08467889314</c:v>
                </c:pt>
                <c:pt idx="272">
                  <c:v>100628.82215473503</c:v>
                </c:pt>
                <c:pt idx="273">
                  <c:v>100669.21624166257</c:v>
                </c:pt>
                <c:pt idx="274">
                  <c:v>100708.27526238437</c:v>
                </c:pt>
                <c:pt idx="275">
                  <c:v>100746.00749959794</c:v>
                </c:pt>
                <c:pt idx="276">
                  <c:v>100782.42119616209</c:v>
                </c:pt>
                <c:pt idx="277">
                  <c:v>100817.5245552688</c:v>
                </c:pt>
                <c:pt idx="278">
                  <c:v>100851.32574061424</c:v>
                </c:pt>
                <c:pt idx="279">
                  <c:v>100883.83287656929</c:v>
                </c:pt>
                <c:pt idx="280">
                  <c:v>100915.05404834921</c:v>
                </c:pt>
                <c:pt idx="281">
                  <c:v>100944.99730218264</c:v>
                </c:pt>
                <c:pt idx="282">
                  <c:v>100973.67064547994</c:v>
                </c:pt>
                <c:pt idx="283">
                  <c:v>101001.08204700092</c:v>
                </c:pt>
                <c:pt idx="284">
                  <c:v>101027.23943702184</c:v>
                </c:pt>
                <c:pt idx="285">
                  <c:v>101052.15070750145</c:v>
                </c:pt>
                <c:pt idx="286">
                  <c:v>101075.82371224702</c:v>
                </c:pt>
                <c:pt idx="287">
                  <c:v>101098.26626707897</c:v>
                </c:pt>
                <c:pt idx="288">
                  <c:v>101119.48614999535</c:v>
                </c:pt>
                <c:pt idx="289">
                  <c:v>101139.49110133527</c:v>
                </c:pt>
                <c:pt idx="290">
                  <c:v>101158.288823942</c:v>
                </c:pt>
                <c:pt idx="291">
                  <c:v>101175.88698332522</c:v>
                </c:pt>
                <c:pt idx="292">
                  <c:v>101192.29320782264</c:v>
                </c:pt>
                <c:pt idx="293">
                  <c:v>101207.51508876093</c:v>
                </c:pt>
                <c:pt idx="294">
                  <c:v>101221.56018061607</c:v>
                </c:pt>
                <c:pt idx="295">
                  <c:v>101234.43600117308</c:v>
                </c:pt>
                <c:pt idx="296">
                  <c:v>101246.15003168485</c:v>
                </c:pt>
                <c:pt idx="297">
                  <c:v>101256.70971703075</c:v>
                </c:pt>
                <c:pt idx="298">
                  <c:v>101266.12246587413</c:v>
                </c:pt>
                <c:pt idx="299">
                  <c:v>101274.39565081948</c:v>
                </c:pt>
                <c:pt idx="300">
                  <c:v>101281.53660856902</c:v>
                </c:pt>
                <c:pt idx="301">
                  <c:v>101287.55264007818</c:v>
                </c:pt>
                <c:pt idx="302">
                  <c:v>101292.45101071108</c:v>
                </c:pt>
                <c:pt idx="303">
                  <c:v>101296.23895039494</c:v>
                </c:pt>
                <c:pt idx="304">
                  <c:v>101298.92365377393</c:v>
                </c:pt>
                <c:pt idx="305">
                  <c:v>101300.51228036251</c:v>
                </c:pt>
                <c:pt idx="306">
                  <c:v>101301.01195469814</c:v>
                </c:pt>
                <c:pt idx="307">
                  <c:v>101300.42976649324</c:v>
                </c:pt>
                <c:pt idx="308">
                  <c:v>101298.77277078653</c:v>
                </c:pt>
                <c:pt idx="309">
                  <c:v>101296.04798809404</c:v>
                </c:pt>
                <c:pt idx="310">
                  <c:v>101292.26240455909</c:v>
                </c:pt>
                <c:pt idx="311">
                  <c:v>101287.42297210202</c:v>
                </c:pt>
                <c:pt idx="312">
                  <c:v>101281.53660856895</c:v>
                </c:pt>
                <c:pt idx="313">
                  <c:v>101274.61019788032</c:v>
                </c:pt>
                <c:pt idx="314">
                  <c:v>101266.65059017853</c:v>
                </c:pt>
                <c:pt idx="315">
                  <c:v>101257.66460197508</c:v>
                </c:pt>
                <c:pt idx="316">
                  <c:v>101247.6590162973</c:v>
                </c:pt>
                <c:pt idx="317">
                  <c:v>101236.64058283386</c:v>
                </c:pt>
                <c:pt idx="318">
                  <c:v>101224.61601808066</c:v>
                </c:pt>
                <c:pt idx="319">
                  <c:v>101211.5920054852</c:v>
                </c:pt>
                <c:pt idx="320">
                  <c:v>101197.57519559088</c:v>
                </c:pt>
                <c:pt idx="321">
                  <c:v>101182.57220618051</c:v>
                </c:pt>
                <c:pt idx="322">
                  <c:v>101166.58962241941</c:v>
                </c:pt>
                <c:pt idx="323">
                  <c:v>101149.63399699771</c:v>
                </c:pt>
                <c:pt idx="324">
                  <c:v>101131.71185027222</c:v>
                </c:pt>
                <c:pt idx="325">
                  <c:v>101112.82967040762</c:v>
                </c:pt>
                <c:pt idx="326">
                  <c:v>101092.99391351722</c:v>
                </c:pt>
                <c:pt idx="327">
                  <c:v>101072.21100380292</c:v>
                </c:pt>
                <c:pt idx="328">
                  <c:v>101050.48733369489</c:v>
                </c:pt>
                <c:pt idx="329">
                  <c:v>101027.82926399031</c:v>
                </c:pt>
                <c:pt idx="330">
                  <c:v>101004.24312399192</c:v>
                </c:pt>
                <c:pt idx="331">
                  <c:v>100979.73521164572</c:v>
                </c:pt>
                <c:pt idx="332">
                  <c:v>100954.31179367835</c:v>
                </c:pt>
                <c:pt idx="333">
                  <c:v>100927.97910573357</c:v>
                </c:pt>
                <c:pt idx="334">
                  <c:v>100900.74335250855</c:v>
                </c:pt>
                <c:pt idx="335">
                  <c:v>100872.61070788943</c:v>
                </c:pt>
                <c:pt idx="336">
                  <c:v>100843.58731508619</c:v>
                </c:pt>
                <c:pt idx="337">
                  <c:v>100813.67928676729</c:v>
                </c:pt>
                <c:pt idx="338">
                  <c:v>100782.89270519349</c:v>
                </c:pt>
                <c:pt idx="339">
                  <c:v>100751.23362235114</c:v>
                </c:pt>
                <c:pt idx="340">
                  <c:v>100718.70806008513</c:v>
                </c:pt>
                <c:pt idx="341">
                  <c:v>100685.32201023112</c:v>
                </c:pt>
                <c:pt idx="342">
                  <c:v>100651.08143474713</c:v>
                </c:pt>
                <c:pt idx="343">
                  <c:v>100615.99226584494</c:v>
                </c:pt>
                <c:pt idx="344">
                  <c:v>100580.06040612064</c:v>
                </c:pt>
                <c:pt idx="345">
                  <c:v>100543.29172868462</c:v>
                </c:pt>
                <c:pt idx="346">
                  <c:v>100505.69207729142</c:v>
                </c:pt>
                <c:pt idx="347">
                  <c:v>100467.26726646845</c:v>
                </c:pt>
                <c:pt idx="348">
                  <c:v>100428.02308164486</c:v>
                </c:pt>
                <c:pt idx="349">
                  <c:v>100387.96527927919</c:v>
                </c:pt>
                <c:pt idx="350">
                  <c:v>100347.09958698708</c:v>
                </c:pt>
                <c:pt idx="351">
                  <c:v>100305.4317036681</c:v>
                </c:pt>
                <c:pt idx="352">
                  <c:v>100262.9672996322</c:v>
                </c:pt>
                <c:pt idx="353">
                  <c:v>100219.71201672559</c:v>
                </c:pt>
                <c:pt idx="354">
                  <c:v>100175.6714684561</c:v>
                </c:pt>
                <c:pt idx="355">
                  <c:v>100130.85124011812</c:v>
                </c:pt>
                <c:pt idx="356">
                  <c:v>100085.25688891695</c:v>
                </c:pt>
                <c:pt idx="357">
                  <c:v>100038.89394409252</c:v>
                </c:pt>
                <c:pt idx="358">
                  <c:v>99991.767907042842</c:v>
                </c:pt>
                <c:pt idx="359">
                  <c:v>99943.884251446885</c:v>
                </c:pt>
                <c:pt idx="360">
                  <c:v>99895.248423386729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F58-40DF-9F22-4024EE1FF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5759759"/>
        <c:axId val="425761679"/>
      </c:lineChart>
      <c:catAx>
        <c:axId val="4257597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5761679"/>
        <c:crosses val="autoZero"/>
        <c:auto val="1"/>
        <c:lblAlgn val="ctr"/>
        <c:lblOffset val="100"/>
        <c:noMultiLvlLbl val="0"/>
      </c:catAx>
      <c:valAx>
        <c:axId val="42576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575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891540</xdr:colOff>
      <xdr:row>0</xdr:row>
      <xdr:rowOff>0</xdr:rowOff>
    </xdr:from>
    <xdr:to>
      <xdr:col>4</xdr:col>
      <xdr:colOff>22860</xdr:colOff>
      <xdr:row>11</xdr:row>
      <xdr:rowOff>182879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70CE97E-67B7-E687-0628-D12CDBADB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" y="0"/>
          <a:ext cx="5013960" cy="2110739"/>
        </a:xfrm>
        <a:prstGeom prst="rect">
          <a:avLst/>
        </a:prstGeom>
      </xdr:spPr>
    </xdr:pic>
    <xdr:clientData/>
  </xdr:twoCellAnchor>
  <xdr:twoCellAnchor>
    <xdr:from>
      <xdr:col>1</xdr:col>
      <xdr:colOff>30480</xdr:colOff>
      <xdr:row>70</xdr:row>
      <xdr:rowOff>22860</xdr:rowOff>
    </xdr:from>
    <xdr:to>
      <xdr:col>4</xdr:col>
      <xdr:colOff>0</xdr:colOff>
      <xdr:row>85</xdr:row>
      <xdr:rowOff>53340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B755823-BA3F-4627-7239-A052906893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891540</xdr:colOff>
      <xdr:row>42</xdr:row>
      <xdr:rowOff>175260</xdr:rowOff>
    </xdr:from>
    <xdr:to>
      <xdr:col>4</xdr:col>
      <xdr:colOff>7620</xdr:colOff>
      <xdr:row>58</xdr:row>
      <xdr:rowOff>175260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6A88D6E-476C-45C2-8EAC-121D6600E0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198120</xdr:colOff>
      <xdr:row>354</xdr:row>
      <xdr:rowOff>83820</xdr:rowOff>
    </xdr:from>
    <xdr:to>
      <xdr:col>10</xdr:col>
      <xdr:colOff>1150620</xdr:colOff>
      <xdr:row>369</xdr:row>
      <xdr:rowOff>83820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97FE5E-71D6-DBCB-A938-5A645E7DD5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754B3-F9E5-41E6-ADA4-8707897F047C}">
  <dimension ref="A1:M97"/>
  <sheetViews>
    <sheetView showGridLines="0" tabSelected="1" workbookViewId="0">
      <selection activeCell="D42" sqref="D42"/>
    </sheetView>
  </sheetViews>
  <sheetFormatPr defaultColWidth="0" defaultRowHeight="13.8" zeroHeight="1" x14ac:dyDescent="0.25"/>
  <cols>
    <col min="1" max="1" width="13.21875" style="1" customWidth="1"/>
    <col min="2" max="2" width="25" style="1" bestFit="1" customWidth="1"/>
    <col min="3" max="3" width="24.5546875" style="1" bestFit="1" customWidth="1"/>
    <col min="4" max="4" width="23" style="1" customWidth="1"/>
    <col min="5" max="5" width="13.21875" style="1" customWidth="1"/>
    <col min="6" max="11" width="8.88671875" style="1" hidden="1" customWidth="1"/>
    <col min="12" max="13" width="0" style="1" hidden="1" customWidth="1"/>
    <col min="14" max="16384" width="8.88671875" style="1" hidden="1"/>
  </cols>
  <sheetData>
    <row r="1" spans="2:4" x14ac:dyDescent="0.25"/>
    <row r="2" spans="2:4" x14ac:dyDescent="0.25"/>
    <row r="3" spans="2:4" x14ac:dyDescent="0.25"/>
    <row r="4" spans="2:4" x14ac:dyDescent="0.25"/>
    <row r="5" spans="2:4" x14ac:dyDescent="0.25"/>
    <row r="6" spans="2:4" x14ac:dyDescent="0.25"/>
    <row r="7" spans="2:4" x14ac:dyDescent="0.25"/>
    <row r="8" spans="2:4" x14ac:dyDescent="0.25"/>
    <row r="9" spans="2:4" x14ac:dyDescent="0.25"/>
    <row r="10" spans="2:4" x14ac:dyDescent="0.25"/>
    <row r="11" spans="2:4" x14ac:dyDescent="0.25"/>
    <row r="12" spans="2:4" ht="14.4" thickBot="1" x14ac:dyDescent="0.3"/>
    <row r="13" spans="2:4" ht="15.6" customHeight="1" thickBot="1" x14ac:dyDescent="0.3"/>
    <row r="14" spans="2:4" ht="30.6" customHeight="1" x14ac:dyDescent="0.25">
      <c r="B14" s="62" t="s">
        <v>22</v>
      </c>
      <c r="C14" s="63"/>
      <c r="D14" s="64"/>
    </row>
    <row r="15" spans="2:4" ht="15.6" x14ac:dyDescent="0.3">
      <c r="B15" s="79" t="s">
        <v>1</v>
      </c>
      <c r="C15" s="80"/>
      <c r="D15" s="15">
        <v>4500</v>
      </c>
    </row>
    <row r="16" spans="2:4" ht="15.6" x14ac:dyDescent="0.3">
      <c r="B16" s="65" t="s">
        <v>24</v>
      </c>
      <c r="C16" s="66"/>
      <c r="D16" s="24">
        <v>0.2</v>
      </c>
    </row>
    <row r="17" spans="2:5" ht="15.6" x14ac:dyDescent="0.3">
      <c r="B17" s="65" t="s">
        <v>13</v>
      </c>
      <c r="C17" s="66"/>
      <c r="D17" s="16">
        <v>7</v>
      </c>
    </row>
    <row r="18" spans="2:5" ht="15.6" x14ac:dyDescent="0.3">
      <c r="B18" s="65" t="s">
        <v>28</v>
      </c>
      <c r="C18" s="66"/>
      <c r="D18" s="17">
        <v>0.04</v>
      </c>
    </row>
    <row r="19" spans="2:5" ht="15.6" x14ac:dyDescent="0.3">
      <c r="B19" s="81" t="s">
        <v>29</v>
      </c>
      <c r="C19" s="82"/>
      <c r="D19" s="25" t="s">
        <v>3</v>
      </c>
    </row>
    <row r="20" spans="2:5" ht="15.6" x14ac:dyDescent="0.3">
      <c r="B20" s="79" t="s">
        <v>31</v>
      </c>
      <c r="C20" s="80"/>
      <c r="D20" s="25" t="s">
        <v>32</v>
      </c>
    </row>
    <row r="21" spans="2:5" ht="11.4" hidden="1" customHeight="1" x14ac:dyDescent="0.3">
      <c r="B21" s="42"/>
      <c r="C21" s="43"/>
      <c r="D21" s="25"/>
    </row>
    <row r="22" spans="2:5" ht="15.6" x14ac:dyDescent="0.3">
      <c r="B22" s="93" t="s">
        <v>30</v>
      </c>
      <c r="C22" s="94"/>
      <c r="D22" s="26">
        <f>$D$15*$D$16</f>
        <v>900</v>
      </c>
    </row>
    <row r="23" spans="2:5" x14ac:dyDescent="0.25">
      <c r="B23" s="83" t="s">
        <v>33</v>
      </c>
      <c r="C23" s="84"/>
      <c r="D23" s="31" cm="1">
        <f t="array" ref="D23">SUMPRODUCT((AUXILIAR!$B$2:$B$19=D19) * (AUXILIAR!$D$2:$D$19) * (AUXILIAR!$E$2:$E$19))</f>
        <v>9.4249999999999994E-3</v>
      </c>
    </row>
    <row r="24" spans="2:5" x14ac:dyDescent="0.25">
      <c r="B24" s="85" t="s">
        <v>34</v>
      </c>
      <c r="C24" s="86"/>
      <c r="D24" s="31">
        <f>(1 + D18)^(1/12) - 1</f>
        <v>3.2737397821989145E-3</v>
      </c>
    </row>
    <row r="25" spans="2:5" ht="16.2" thickBot="1" x14ac:dyDescent="0.35">
      <c r="B25" s="87" t="s">
        <v>35</v>
      </c>
      <c r="C25" s="88"/>
      <c r="D25" s="27">
        <f>((1 + D23) / (1 + D24)) - 1</f>
        <v>6.1311883027421743E-3</v>
      </c>
    </row>
    <row r="26" spans="2:5" ht="14.4" thickBot="1" x14ac:dyDescent="0.3"/>
    <row r="27" spans="2:5" ht="30.6" customHeight="1" x14ac:dyDescent="0.25">
      <c r="B27" s="76" t="s">
        <v>0</v>
      </c>
      <c r="C27" s="77"/>
      <c r="D27" s="78"/>
    </row>
    <row r="28" spans="2:5" ht="15.6" x14ac:dyDescent="0.3">
      <c r="B28" s="70" t="s">
        <v>25</v>
      </c>
      <c r="C28" s="71"/>
      <c r="D28" s="29">
        <f>$D$22</f>
        <v>900</v>
      </c>
    </row>
    <row r="29" spans="2:5" ht="15.6" x14ac:dyDescent="0.3">
      <c r="B29" s="89" t="s">
        <v>38</v>
      </c>
      <c r="C29" s="90"/>
      <c r="D29" s="34">
        <f>D17</f>
        <v>7</v>
      </c>
    </row>
    <row r="30" spans="2:5" ht="15.6" x14ac:dyDescent="0.3">
      <c r="B30" s="70" t="s">
        <v>37</v>
      </c>
      <c r="C30" s="71"/>
      <c r="D30" s="26">
        <f>IF(D20="Sim", FV(D23, D17*12, -(D15*D16)), (D15*D16) * (D17*12))</f>
        <v>114491.20169890305</v>
      </c>
      <c r="E30" s="2"/>
    </row>
    <row r="31" spans="2:5" ht="15.6" x14ac:dyDescent="0.3">
      <c r="B31" s="72" t="s">
        <v>36</v>
      </c>
      <c r="C31" s="73"/>
      <c r="D31" s="32">
        <f>IF(D20="Sim", FV(D25, D17*12, -(D15*D16)), ((D15*D16) * (D17*12)) / (1+D18)^D17)</f>
        <v>98502.573030729138</v>
      </c>
    </row>
    <row r="32" spans="2:5" ht="16.2" thickBot="1" x14ac:dyDescent="0.35">
      <c r="B32" s="74" t="s">
        <v>26</v>
      </c>
      <c r="C32" s="75"/>
      <c r="D32" s="30">
        <f>D30 * D23</f>
        <v>1079.0795760121612</v>
      </c>
    </row>
    <row r="33" spans="1:12" ht="14.4" thickBot="1" x14ac:dyDescent="0.3"/>
    <row r="34" spans="1:12" ht="29.4" customHeight="1" thickBot="1" x14ac:dyDescent="0.3">
      <c r="B34" s="67" t="s">
        <v>20</v>
      </c>
      <c r="C34" s="68"/>
      <c r="D34" s="69"/>
      <c r="E34" s="18"/>
      <c r="L34" s="3"/>
    </row>
    <row r="35" spans="1:12" ht="20.399999999999999" customHeight="1" x14ac:dyDescent="0.25">
      <c r="A35" s="14"/>
      <c r="B35" s="51" t="s">
        <v>21</v>
      </c>
      <c r="C35" s="52" t="s">
        <v>39</v>
      </c>
      <c r="D35" s="53" t="s">
        <v>19</v>
      </c>
    </row>
    <row r="36" spans="1:12" ht="15" customHeight="1" x14ac:dyDescent="0.3">
      <c r="A36" s="14">
        <v>2</v>
      </c>
      <c r="B36" s="6" t="s">
        <v>14</v>
      </c>
      <c r="C36" s="5">
        <f>-FV($D$23,$A36*12,$D$22)</f>
        <v>24111.301705336897</v>
      </c>
      <c r="D36" s="7">
        <f>C36*$D$23</f>
        <v>227.24901857280022</v>
      </c>
    </row>
    <row r="37" spans="1:12" ht="15" customHeight="1" x14ac:dyDescent="0.3">
      <c r="A37" s="14">
        <v>5</v>
      </c>
      <c r="B37" s="6" t="s">
        <v>15</v>
      </c>
      <c r="C37" s="5">
        <f t="shared" ref="C37:C41" si="0">-FV($D$23,$A37*12,$D$22)</f>
        <v>72159.663618244551</v>
      </c>
      <c r="D37" s="7">
        <f t="shared" ref="D37:D41" si="1">C37*$D$23</f>
        <v>680.10482960195486</v>
      </c>
    </row>
    <row r="38" spans="1:12" ht="15" customHeight="1" x14ac:dyDescent="0.3">
      <c r="A38" s="14">
        <v>10</v>
      </c>
      <c r="B38" s="6" t="s">
        <v>16</v>
      </c>
      <c r="C38" s="5">
        <f t="shared" si="0"/>
        <v>198848.36693562302</v>
      </c>
      <c r="D38" s="7">
        <f t="shared" si="1"/>
        <v>1874.1458583682468</v>
      </c>
    </row>
    <row r="39" spans="1:12" ht="15" customHeight="1" x14ac:dyDescent="0.3">
      <c r="A39" s="14">
        <v>15</v>
      </c>
      <c r="B39" s="6" t="s">
        <v>47</v>
      </c>
      <c r="C39" s="5">
        <f t="shared" si="0"/>
        <v>421272.18023317744</v>
      </c>
      <c r="D39" s="7">
        <f t="shared" si="1"/>
        <v>3970.4902986976972</v>
      </c>
    </row>
    <row r="40" spans="1:12" ht="15" customHeight="1" x14ac:dyDescent="0.3">
      <c r="A40" s="14">
        <v>20</v>
      </c>
      <c r="B40" s="6" t="s">
        <v>17</v>
      </c>
      <c r="C40" s="5">
        <f t="shared" si="0"/>
        <v>811775.44868867635</v>
      </c>
      <c r="D40" s="7">
        <f t="shared" si="1"/>
        <v>7650.9836038907742</v>
      </c>
    </row>
    <row r="41" spans="1:12" ht="15" customHeight="1" x14ac:dyDescent="0.3">
      <c r="A41" s="14">
        <v>30</v>
      </c>
      <c r="B41" s="6" t="s">
        <v>18</v>
      </c>
      <c r="C41" s="5">
        <f t="shared" si="0"/>
        <v>2701052.2546075312</v>
      </c>
      <c r="D41" s="7">
        <f t="shared" si="1"/>
        <v>25457.417499675979</v>
      </c>
    </row>
    <row r="42" spans="1:12" s="49" customFormat="1" ht="15" customHeight="1" thickBot="1" x14ac:dyDescent="0.35">
      <c r="A42" s="46"/>
      <c r="B42" s="91" t="s">
        <v>48</v>
      </c>
      <c r="C42" s="92"/>
      <c r="D42" s="54">
        <v>7</v>
      </c>
    </row>
    <row r="43" spans="1:12" s="49" customFormat="1" ht="15" customHeight="1" x14ac:dyDescent="0.3">
      <c r="A43" s="46"/>
      <c r="B43" s="47"/>
      <c r="C43" s="48"/>
      <c r="D43" s="48"/>
    </row>
    <row r="44" spans="1:12" s="49" customFormat="1" ht="15" customHeight="1" x14ac:dyDescent="0.3">
      <c r="A44" s="46"/>
      <c r="B44" s="47"/>
      <c r="C44" s="48"/>
      <c r="D44" s="48"/>
    </row>
    <row r="45" spans="1:12" s="49" customFormat="1" ht="15" customHeight="1" x14ac:dyDescent="0.3">
      <c r="A45" s="46"/>
      <c r="B45" s="47"/>
      <c r="C45" s="48"/>
      <c r="D45" s="48"/>
    </row>
    <row r="46" spans="1:12" s="49" customFormat="1" ht="15" customHeight="1" x14ac:dyDescent="0.3">
      <c r="A46" s="46"/>
      <c r="B46" s="47"/>
      <c r="C46" s="48"/>
      <c r="D46" s="48"/>
    </row>
    <row r="47" spans="1:12" s="49" customFormat="1" ht="15" customHeight="1" x14ac:dyDescent="0.3">
      <c r="A47" s="46"/>
      <c r="B47" s="47"/>
      <c r="C47" s="48"/>
      <c r="D47" s="48"/>
    </row>
    <row r="48" spans="1:12" s="49" customFormat="1" ht="15" customHeight="1" x14ac:dyDescent="0.3">
      <c r="A48" s="46"/>
      <c r="B48" s="47"/>
      <c r="C48" s="48"/>
      <c r="D48" s="48"/>
    </row>
    <row r="49" spans="1:4" s="49" customFormat="1" ht="15" customHeight="1" x14ac:dyDescent="0.3">
      <c r="A49" s="46"/>
      <c r="B49" s="47"/>
      <c r="C49" s="48"/>
      <c r="D49" s="48"/>
    </row>
    <row r="50" spans="1:4" s="49" customFormat="1" ht="15" customHeight="1" x14ac:dyDescent="0.3">
      <c r="A50" s="46"/>
      <c r="B50" s="47"/>
      <c r="C50" s="48"/>
      <c r="D50" s="48"/>
    </row>
    <row r="51" spans="1:4" s="49" customFormat="1" ht="15" customHeight="1" x14ac:dyDescent="0.3">
      <c r="A51" s="46"/>
      <c r="B51" s="47"/>
      <c r="C51" s="48"/>
      <c r="D51" s="48"/>
    </row>
    <row r="52" spans="1:4" s="49" customFormat="1" ht="15" customHeight="1" x14ac:dyDescent="0.3">
      <c r="A52" s="46"/>
      <c r="B52" s="47"/>
      <c r="C52" s="48"/>
      <c r="D52" s="48"/>
    </row>
    <row r="53" spans="1:4" s="49" customFormat="1" ht="15" customHeight="1" x14ac:dyDescent="0.3">
      <c r="A53" s="46"/>
      <c r="B53" s="47"/>
      <c r="C53" s="48"/>
      <c r="D53" s="48"/>
    </row>
    <row r="54" spans="1:4" s="49" customFormat="1" ht="15" customHeight="1" x14ac:dyDescent="0.3">
      <c r="A54" s="46"/>
      <c r="B54" s="47"/>
      <c r="C54" s="48"/>
      <c r="D54" s="48"/>
    </row>
    <row r="55" spans="1:4" s="49" customFormat="1" ht="15" customHeight="1" x14ac:dyDescent="0.3">
      <c r="A55" s="46"/>
      <c r="B55" s="47"/>
      <c r="C55" s="48"/>
      <c r="D55" s="48"/>
    </row>
    <row r="56" spans="1:4" s="49" customFormat="1" ht="15" customHeight="1" x14ac:dyDescent="0.3">
      <c r="A56" s="46"/>
      <c r="B56" s="47"/>
      <c r="C56" s="48"/>
      <c r="D56" s="48"/>
    </row>
    <row r="57" spans="1:4" s="49" customFormat="1" ht="15" customHeight="1" x14ac:dyDescent="0.3">
      <c r="A57" s="46"/>
      <c r="B57" s="47"/>
      <c r="C57" s="48"/>
      <c r="D57" s="48"/>
    </row>
    <row r="58" spans="1:4" s="49" customFormat="1" ht="15" customHeight="1" x14ac:dyDescent="0.3">
      <c r="A58" s="46"/>
      <c r="B58" s="47"/>
      <c r="C58" s="48"/>
      <c r="D58" s="48"/>
    </row>
    <row r="59" spans="1:4" s="49" customFormat="1" ht="15" customHeight="1" x14ac:dyDescent="0.3">
      <c r="A59" s="46"/>
      <c r="B59" s="47"/>
      <c r="C59" s="48"/>
      <c r="D59" s="48"/>
    </row>
    <row r="60" spans="1:4" s="49" customFormat="1" ht="14.4" thickBot="1" x14ac:dyDescent="0.3">
      <c r="B60" s="50"/>
      <c r="C60" s="50"/>
      <c r="D60" s="50"/>
    </row>
    <row r="61" spans="1:4" ht="29.4" customHeight="1" x14ac:dyDescent="0.25">
      <c r="B61" s="76" t="s">
        <v>52</v>
      </c>
      <c r="C61" s="77"/>
      <c r="D61" s="78"/>
    </row>
    <row r="62" spans="1:4" ht="15.6" x14ac:dyDescent="0.3">
      <c r="B62" s="33" t="s">
        <v>49</v>
      </c>
      <c r="C62" s="28" t="s">
        <v>50</v>
      </c>
      <c r="D62" s="56" t="s">
        <v>51</v>
      </c>
    </row>
    <row r="63" spans="1:4" ht="15.6" x14ac:dyDescent="0.3">
      <c r="B63" s="57" t="s">
        <v>6</v>
      </c>
      <c r="C63" s="55">
        <f>VLOOKUP($D$19&amp;"-"&amp;$B63,AUXILIAR!A1:D19,4,)</f>
        <v>0.32</v>
      </c>
      <c r="D63" s="58">
        <f>$D$28*$C63</f>
        <v>288</v>
      </c>
    </row>
    <row r="64" spans="1:4" ht="15.6" x14ac:dyDescent="0.3">
      <c r="B64" s="57" t="s">
        <v>7</v>
      </c>
      <c r="C64" s="55">
        <f>VLOOKUP($D$19&amp;"-"&amp;$B64,AUXILIAR!A2:D20,4,)</f>
        <v>0.35</v>
      </c>
      <c r="D64" s="58">
        <f t="shared" ref="D64:D68" si="2">$D$28*$C64</f>
        <v>315</v>
      </c>
    </row>
    <row r="65" spans="2:4" ht="15.6" x14ac:dyDescent="0.3">
      <c r="B65" s="57" t="s">
        <v>8</v>
      </c>
      <c r="C65" s="55">
        <f>VLOOKUP($D$19&amp;"-"&amp;$B65,AUXILIAR!A3:D21,4,)</f>
        <v>0.08</v>
      </c>
      <c r="D65" s="58">
        <f t="shared" si="2"/>
        <v>72</v>
      </c>
    </row>
    <row r="66" spans="2:4" ht="15.6" x14ac:dyDescent="0.3">
      <c r="B66" s="57" t="s">
        <v>9</v>
      </c>
      <c r="C66" s="55">
        <f>VLOOKUP($D$19&amp;"-"&amp;$B66,AUXILIAR!A4:D22,4,)</f>
        <v>0.05</v>
      </c>
      <c r="D66" s="58">
        <f t="shared" si="2"/>
        <v>45</v>
      </c>
    </row>
    <row r="67" spans="2:4" ht="15.6" x14ac:dyDescent="0.3">
      <c r="B67" s="57" t="s">
        <v>10</v>
      </c>
      <c r="C67" s="55">
        <f>VLOOKUP($D$19&amp;"-"&amp;$B67,AUXILIAR!A5:D23,4,)</f>
        <v>0.1</v>
      </c>
      <c r="D67" s="58">
        <f t="shared" si="2"/>
        <v>90</v>
      </c>
    </row>
    <row r="68" spans="2:4" ht="15.6" x14ac:dyDescent="0.3">
      <c r="B68" s="57" t="s">
        <v>11</v>
      </c>
      <c r="C68" s="55">
        <f>VLOOKUP($D$19&amp;"-"&amp;$B68,AUXILIAR!A6:D24,4,)</f>
        <v>0.1</v>
      </c>
      <c r="D68" s="58">
        <f t="shared" si="2"/>
        <v>90</v>
      </c>
    </row>
    <row r="69" spans="2:4" ht="14.4" thickBot="1" x14ac:dyDescent="0.3">
      <c r="B69" s="59" t="s">
        <v>27</v>
      </c>
      <c r="C69" s="60">
        <f>SUM(C63:C68)</f>
        <v>0.99999999999999989</v>
      </c>
      <c r="D69" s="61">
        <f>SUM(D63:D68)</f>
        <v>900</v>
      </c>
    </row>
    <row r="70" spans="2:4" x14ac:dyDescent="0.25"/>
    <row r="71" spans="2:4" x14ac:dyDescent="0.25"/>
    <row r="72" spans="2:4" x14ac:dyDescent="0.25"/>
    <row r="73" spans="2:4" x14ac:dyDescent="0.25"/>
    <row r="74" spans="2:4" x14ac:dyDescent="0.25"/>
    <row r="75" spans="2:4" x14ac:dyDescent="0.25"/>
    <row r="76" spans="2:4" x14ac:dyDescent="0.25"/>
    <row r="77" spans="2:4" x14ac:dyDescent="0.25"/>
    <row r="78" spans="2:4" x14ac:dyDescent="0.25"/>
    <row r="79" spans="2:4" x14ac:dyDescent="0.25"/>
    <row r="80" spans="2:4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hidden="1" x14ac:dyDescent="0.25"/>
    <row r="93" s="1" customFormat="1" hidden="1" x14ac:dyDescent="0.25"/>
    <row r="94" s="1" customFormat="1" hidden="1" x14ac:dyDescent="0.25"/>
    <row r="95" s="1" customFormat="1" hidden="1" x14ac:dyDescent="0.25"/>
    <row r="96" s="1" customFormat="1" hidden="1" x14ac:dyDescent="0.25"/>
    <row r="97" s="1" customFormat="1" hidden="1" x14ac:dyDescent="0.25"/>
  </sheetData>
  <mergeCells count="20">
    <mergeCell ref="B61:D61"/>
    <mergeCell ref="B20:C20"/>
    <mergeCell ref="B24:C24"/>
    <mergeCell ref="B25:C25"/>
    <mergeCell ref="B29:C29"/>
    <mergeCell ref="B42:C42"/>
    <mergeCell ref="B22:C22"/>
    <mergeCell ref="B14:D14"/>
    <mergeCell ref="B16:C16"/>
    <mergeCell ref="B17:C17"/>
    <mergeCell ref="B34:D34"/>
    <mergeCell ref="B28:C28"/>
    <mergeCell ref="B30:C30"/>
    <mergeCell ref="B31:C31"/>
    <mergeCell ref="B32:C32"/>
    <mergeCell ref="B27:D27"/>
    <mergeCell ref="B15:C15"/>
    <mergeCell ref="B18:C18"/>
    <mergeCell ref="B19:C19"/>
    <mergeCell ref="B23:C23"/>
  </mergeCells>
  <dataValidations count="4">
    <dataValidation type="list" allowBlank="1" showInputMessage="1" showErrorMessage="1" sqref="D16" xr:uid="{B5BE23E5-C627-4DAC-A1FC-4C025CA7D03B}">
      <mc:AlternateContent xmlns:x12ac="http://schemas.microsoft.com/office/spreadsheetml/2011/1/ac" xmlns:mc="http://schemas.openxmlformats.org/markup-compatibility/2006">
        <mc:Choice Requires="x12ac">
          <x12ac:list>"0,05"," 0,10"," 0,15"," 0,20"," 0,30"," 0,40"," 0,50"," 0,60"," 0,70"</x12ac:list>
        </mc:Choice>
        <mc:Fallback>
          <formula1>"0,05, 0,10, 0,15, 0,20, 0,30, 0,40, 0,50, 0,60, 0,70"</formula1>
        </mc:Fallback>
      </mc:AlternateContent>
    </dataValidation>
    <dataValidation type="list" allowBlank="1" showInputMessage="1" showErrorMessage="1" sqref="D19" xr:uid="{9519E398-A65B-4F4E-B2B0-77628DFEADEF}">
      <formula1>"Conservador, Moderado, Agressivo"</formula1>
    </dataValidation>
    <dataValidation type="list" allowBlank="1" showInputMessage="1" showErrorMessage="1" sqref="D20:D21" xr:uid="{9A50659D-383B-4D18-B473-33406C9474D3}">
      <formula1>"Sim, Não"</formula1>
    </dataValidation>
    <dataValidation type="list" allowBlank="1" showInputMessage="1" showErrorMessage="1" sqref="D42" xr:uid="{1757FB97-FBD0-46B7-84CE-55591E6EDE78}">
      <formula1>"2, 5, 7, 10, 12, 15, 20, 25, 30"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A0C47-B6C9-407F-AE2F-BFFE89E9A335}">
  <dimension ref="A1:K362"/>
  <sheetViews>
    <sheetView workbookViewId="0">
      <selection activeCell="P16" sqref="P16"/>
    </sheetView>
  </sheetViews>
  <sheetFormatPr defaultRowHeight="14.4" x14ac:dyDescent="0.3"/>
  <cols>
    <col min="1" max="1" width="35.88671875" customWidth="1"/>
    <col min="2" max="2" width="14.44140625" customWidth="1"/>
    <col min="3" max="3" width="19.44140625" bestFit="1" customWidth="1"/>
    <col min="4" max="4" width="12.33203125" bestFit="1" customWidth="1"/>
    <col min="5" max="5" width="14.77734375" bestFit="1" customWidth="1"/>
    <col min="7" max="7" width="9.6640625" style="45" customWidth="1"/>
    <col min="8" max="8" width="16.5546875" bestFit="1" customWidth="1"/>
    <col min="9" max="9" width="15.6640625" customWidth="1"/>
    <col min="10" max="10" width="20.5546875" bestFit="1" customWidth="1"/>
    <col min="11" max="11" width="17" bestFit="1" customWidth="1"/>
  </cols>
  <sheetData>
    <row r="1" spans="1:11" x14ac:dyDescent="0.3">
      <c r="A1" s="8" t="s">
        <v>12</v>
      </c>
      <c r="B1" s="9" t="s">
        <v>5</v>
      </c>
      <c r="C1" s="9" t="s">
        <v>23</v>
      </c>
      <c r="D1" s="10" t="s">
        <v>41</v>
      </c>
      <c r="E1" s="10" t="s">
        <v>40</v>
      </c>
      <c r="G1" s="19" t="s">
        <v>42</v>
      </c>
      <c r="H1" s="19" t="s">
        <v>43</v>
      </c>
      <c r="I1" s="19" t="s">
        <v>44</v>
      </c>
      <c r="J1" s="19" t="s">
        <v>45</v>
      </c>
      <c r="K1" s="19" t="s">
        <v>46</v>
      </c>
    </row>
    <row r="2" spans="1:11" ht="15.6" x14ac:dyDescent="0.3">
      <c r="A2" s="11" t="str">
        <f>$B2&amp;"-"&amp;$C2</f>
        <v>Conservador-PAPEL</v>
      </c>
      <c r="B2" s="38" t="s">
        <v>2</v>
      </c>
      <c r="C2" s="12" t="s">
        <v>6</v>
      </c>
      <c r="D2" s="20">
        <v>0.3</v>
      </c>
      <c r="E2" s="35">
        <v>1.0999999999999999E-2</v>
      </c>
      <c r="G2" s="45">
        <v>0</v>
      </c>
      <c r="H2">
        <v>0</v>
      </c>
      <c r="I2">
        <v>0</v>
      </c>
      <c r="J2">
        <v>0</v>
      </c>
      <c r="K2">
        <v>0</v>
      </c>
    </row>
    <row r="3" spans="1:11" ht="15.6" x14ac:dyDescent="0.3">
      <c r="A3" s="11" t="str">
        <f t="shared" ref="A3:A19" si="0">$B3&amp;"-"&amp;$C3</f>
        <v>Conservador-TIJOLO</v>
      </c>
      <c r="B3" s="38" t="s">
        <v>2</v>
      </c>
      <c r="C3" s="12" t="s">
        <v>7</v>
      </c>
      <c r="D3" s="20">
        <v>0.5</v>
      </c>
      <c r="E3" s="35">
        <v>7.4999999999999997E-3</v>
      </c>
      <c r="G3" s="45">
        <f>G2+1</f>
        <v>1</v>
      </c>
      <c r="H3" s="44">
        <f>H2 * (1 + APP_INVEST!$D$23) + APP_INVEST!$D$22</f>
        <v>900</v>
      </c>
      <c r="I3" s="44">
        <f>I2 * (1 + APP_INVEST!$D$25) + APP_INVEST!$D$22</f>
        <v>900</v>
      </c>
      <c r="J3" s="44">
        <f>G3 * APP_INVEST!$D$22</f>
        <v>900</v>
      </c>
      <c r="K3" s="44">
        <f>J3 / (1 + APP_INVEST!$D$24)^G3</f>
        <v>897.06324835670603</v>
      </c>
    </row>
    <row r="4" spans="1:11" ht="15.6" x14ac:dyDescent="0.3">
      <c r="A4" s="11" t="str">
        <f t="shared" si="0"/>
        <v>Conservador-HÍBRIDOS</v>
      </c>
      <c r="B4" s="38" t="s">
        <v>2</v>
      </c>
      <c r="C4" s="12" t="s">
        <v>8</v>
      </c>
      <c r="D4" s="20">
        <v>0.1</v>
      </c>
      <c r="E4" s="35">
        <v>8.5000000000000006E-3</v>
      </c>
      <c r="G4" s="45">
        <f t="shared" ref="G4:G67" si="1">G3+1</f>
        <v>2</v>
      </c>
      <c r="H4" s="44">
        <f>H3 * (1 + APP_INVEST!$D$23) + APP_INVEST!$D$22</f>
        <v>1808.4825000000001</v>
      </c>
      <c r="I4" s="44">
        <f>I3 * (1 + APP_INVEST!$D$25) + APP_INVEST!$D$22</f>
        <v>1805.5180694724679</v>
      </c>
      <c r="J4" s="44">
        <f>G4 * APP_INVEST!$D$22</f>
        <v>1800</v>
      </c>
      <c r="K4" s="44">
        <f>J4 / (1 + APP_INVEST!$D$24)^G4</f>
        <v>1788.2721590050785</v>
      </c>
    </row>
    <row r="5" spans="1:11" ht="15.6" x14ac:dyDescent="0.3">
      <c r="A5" s="11" t="str">
        <f t="shared" si="0"/>
        <v>Conservador-FOFs</v>
      </c>
      <c r="B5" s="38" t="s">
        <v>2</v>
      </c>
      <c r="C5" s="12" t="s">
        <v>9</v>
      </c>
      <c r="D5" s="20">
        <v>0.1</v>
      </c>
      <c r="E5" s="36">
        <v>8.0000000000000002E-3</v>
      </c>
      <c r="G5" s="45">
        <f t="shared" si="1"/>
        <v>3</v>
      </c>
      <c r="H5" s="44">
        <f>H4 * (1 + APP_INVEST!$D$23) + APP_INVEST!$D$22</f>
        <v>2725.5274475625001</v>
      </c>
      <c r="I5" s="44">
        <f>I4 * (1 + APP_INVEST!$D$25) + APP_INVEST!$D$22</f>
        <v>2716.5880407404075</v>
      </c>
      <c r="J5" s="44">
        <f>G5 * APP_INVEST!$D$22</f>
        <v>2700</v>
      </c>
      <c r="K5" s="44">
        <f>J5 / (1 + APP_INVEST!$D$24)^G5</f>
        <v>2673.6553865049259</v>
      </c>
    </row>
    <row r="6" spans="1:11" ht="15.6" x14ac:dyDescent="0.3">
      <c r="A6" s="11" t="str">
        <f t="shared" si="0"/>
        <v>Conservador-DESENVOLVIMENTO</v>
      </c>
      <c r="B6" s="38" t="s">
        <v>2</v>
      </c>
      <c r="C6" s="12" t="s">
        <v>10</v>
      </c>
      <c r="D6" s="20">
        <v>0</v>
      </c>
      <c r="E6" s="36">
        <v>1.2E-2</v>
      </c>
      <c r="G6" s="45">
        <f t="shared" si="1"/>
        <v>4</v>
      </c>
      <c r="H6" s="44">
        <f>H5 * (1 + APP_INVEST!$D$23) + APP_INVEST!$D$22</f>
        <v>3651.2155437557767</v>
      </c>
      <c r="I6" s="44">
        <f>I5 * (1 + APP_INVEST!$D$25) + APP_INVEST!$D$22</f>
        <v>3633.2439535591643</v>
      </c>
      <c r="J6" s="44">
        <f>G6 * APP_INVEST!$D$22</f>
        <v>3600</v>
      </c>
      <c r="K6" s="44">
        <f>J6 / (1 + APP_INVEST!$D$24)^G6</f>
        <v>3553.2414607474275</v>
      </c>
    </row>
    <row r="7" spans="1:11" ht="16.2" thickBot="1" x14ac:dyDescent="0.35">
      <c r="A7" s="13" t="str">
        <f t="shared" si="0"/>
        <v>Conservador-HOTELARIAS</v>
      </c>
      <c r="B7" s="39" t="s">
        <v>2</v>
      </c>
      <c r="C7" s="4" t="s">
        <v>11</v>
      </c>
      <c r="D7" s="21">
        <v>0</v>
      </c>
      <c r="E7" s="37">
        <v>0.01</v>
      </c>
      <c r="G7" s="45">
        <f t="shared" si="1"/>
        <v>5</v>
      </c>
      <c r="H7" s="44">
        <f>H6 * (1 + APP_INVEST!$D$23) + APP_INVEST!$D$22</f>
        <v>4585.6282502556751</v>
      </c>
      <c r="I7" s="44">
        <f>I6 * (1 + APP_INVEST!$D$25) + APP_INVEST!$D$22</f>
        <v>4555.5200563882354</v>
      </c>
      <c r="J7" s="44">
        <f>G7 * APP_INVEST!$D$22</f>
        <v>4500</v>
      </c>
      <c r="K7" s="44">
        <f>J7 / (1 + APP_INVEST!$D$24)^G7</f>
        <v>4427.0587874636312</v>
      </c>
    </row>
    <row r="8" spans="1:11" ht="15.6" x14ac:dyDescent="0.3">
      <c r="A8" s="11" t="str">
        <f t="shared" si="0"/>
        <v>Moderado-PAPEL</v>
      </c>
      <c r="B8" s="40" t="s">
        <v>3</v>
      </c>
      <c r="C8" s="12" t="s">
        <v>6</v>
      </c>
      <c r="D8" s="22">
        <v>0.32</v>
      </c>
      <c r="E8" s="35">
        <v>1.0999999999999999E-2</v>
      </c>
      <c r="G8" s="45">
        <f t="shared" si="1"/>
        <v>6</v>
      </c>
      <c r="H8" s="44">
        <f>H7 * (1 + APP_INVEST!$D$23) + APP_INVEST!$D$22</f>
        <v>5528.8477965143347</v>
      </c>
      <c r="I8" s="44">
        <f>I7 * (1 + APP_INVEST!$D$25) + APP_INVEST!$D$22</f>
        <v>5483.4508076708707</v>
      </c>
      <c r="J8" s="44">
        <f>G8 * APP_INVEST!$D$22</f>
        <v>5400</v>
      </c>
      <c r="K8" s="44">
        <f>J8 / (1 + APP_INVEST!$D$24)^G8</f>
        <v>5295.1356487309677</v>
      </c>
    </row>
    <row r="9" spans="1:11" ht="15.6" x14ac:dyDescent="0.3">
      <c r="A9" s="11" t="str">
        <f t="shared" si="0"/>
        <v>Moderado-TIJOLO</v>
      </c>
      <c r="B9" s="40" t="s">
        <v>3</v>
      </c>
      <c r="C9" s="12" t="s">
        <v>7</v>
      </c>
      <c r="D9" s="23">
        <v>0.35</v>
      </c>
      <c r="E9" s="35">
        <v>7.4999999999999997E-3</v>
      </c>
      <c r="G9" s="45">
        <f t="shared" si="1"/>
        <v>7</v>
      </c>
      <c r="H9" s="44">
        <f>H8 * (1 + APP_INVEST!$D$23) + APP_INVEST!$D$22</f>
        <v>6480.9571869964821</v>
      </c>
      <c r="I9" s="44">
        <f>I8 * (1 + APP_INVEST!$D$25) + APP_INVEST!$D$22</f>
        <v>6417.0708771215241</v>
      </c>
      <c r="J9" s="44">
        <f>G9 * APP_INVEST!$D$22</f>
        <v>6300</v>
      </c>
      <c r="K9" s="44">
        <f>J9 / (1 + APP_INVEST!$D$24)^G9</f>
        <v>6157.5002034777717</v>
      </c>
    </row>
    <row r="10" spans="1:11" ht="15.6" x14ac:dyDescent="0.3">
      <c r="A10" s="11" t="str">
        <f t="shared" si="0"/>
        <v>Moderado-HÍBRIDOS</v>
      </c>
      <c r="B10" s="40" t="s">
        <v>3</v>
      </c>
      <c r="C10" s="12" t="s">
        <v>8</v>
      </c>
      <c r="D10" s="20">
        <v>0.08</v>
      </c>
      <c r="E10" s="35">
        <v>8.5000000000000006E-3</v>
      </c>
      <c r="G10" s="45">
        <f t="shared" si="1"/>
        <v>8</v>
      </c>
      <c r="H10" s="44">
        <f>H9 * (1 + APP_INVEST!$D$23) + APP_INVEST!$D$22</f>
        <v>7442.0402084839243</v>
      </c>
      <c r="I10" s="44">
        <f>I9 * (1 + APP_INVEST!$D$25) + APP_INVEST!$D$22</f>
        <v>7356.4151470211991</v>
      </c>
      <c r="J10" s="44">
        <f>G10 * APP_INVEST!$D$22</f>
        <v>7200</v>
      </c>
      <c r="K10" s="44">
        <f>J10 / (1 + APP_INVEST!$D$24)^G10</f>
        <v>7014.18048798584</v>
      </c>
    </row>
    <row r="11" spans="1:11" ht="15.6" x14ac:dyDescent="0.3">
      <c r="A11" s="11" t="str">
        <f t="shared" si="0"/>
        <v>Moderado-FOFs</v>
      </c>
      <c r="B11" s="40" t="s">
        <v>3</v>
      </c>
      <c r="C11" s="12" t="s">
        <v>9</v>
      </c>
      <c r="D11" s="20">
        <v>0.05</v>
      </c>
      <c r="E11" s="36">
        <v>8.0000000000000002E-3</v>
      </c>
      <c r="G11" s="45">
        <f t="shared" si="1"/>
        <v>9</v>
      </c>
      <c r="H11" s="44">
        <f>H10 * (1 + APP_INVEST!$D$23) + APP_INVEST!$D$22</f>
        <v>8412.1814374488858</v>
      </c>
      <c r="I11" s="44">
        <f>I10 * (1 + APP_INVEST!$D$25) + APP_INVEST!$D$22</f>
        <v>8301.5187135207307</v>
      </c>
      <c r="J11" s="44">
        <f>G11 * APP_INVEST!$D$22</f>
        <v>8100</v>
      </c>
      <c r="K11" s="44">
        <f>J11 / (1 + APP_INVEST!$D$24)^G11</f>
        <v>7865.2044163910041</v>
      </c>
    </row>
    <row r="12" spans="1:11" ht="15.6" x14ac:dyDescent="0.3">
      <c r="A12" s="11" t="str">
        <f t="shared" si="0"/>
        <v>Moderado-DESENVOLVIMENTO</v>
      </c>
      <c r="B12" s="40" t="s">
        <v>3</v>
      </c>
      <c r="C12" s="12" t="s">
        <v>10</v>
      </c>
      <c r="D12" s="20">
        <v>0.1</v>
      </c>
      <c r="E12" s="36">
        <v>1.2E-2</v>
      </c>
      <c r="G12" s="45">
        <f t="shared" si="1"/>
        <v>10</v>
      </c>
      <c r="H12" s="44">
        <f>H11 * (1 + APP_INVEST!$D$23) + APP_INVEST!$D$22</f>
        <v>9391.4662474968409</v>
      </c>
      <c r="I12" s="44">
        <f>I11 * (1 + APP_INVEST!$D$25) + APP_INVEST!$D$22</f>
        <v>9252.4168879520639</v>
      </c>
      <c r="J12" s="44">
        <f>G12 * APP_INVEST!$D$22</f>
        <v>9000</v>
      </c>
      <c r="K12" s="44">
        <f>J12 / (1 + APP_INVEST!$D$24)^G12</f>
        <v>8710.5997811817597</v>
      </c>
    </row>
    <row r="13" spans="1:11" ht="16.2" thickBot="1" x14ac:dyDescent="0.35">
      <c r="A13" s="13" t="str">
        <f t="shared" si="0"/>
        <v>Moderado-HOTELARIAS</v>
      </c>
      <c r="B13" s="41" t="s">
        <v>3</v>
      </c>
      <c r="C13" s="4" t="s">
        <v>11</v>
      </c>
      <c r="D13" s="21">
        <v>0.1</v>
      </c>
      <c r="E13" s="37">
        <v>0.01</v>
      </c>
      <c r="G13" s="45">
        <f t="shared" si="1"/>
        <v>11</v>
      </c>
      <c r="H13" s="44">
        <f>H12 * (1 + APP_INVEST!$D$23) + APP_INVEST!$D$22</f>
        <v>10379.980816879499</v>
      </c>
      <c r="I13" s="44">
        <f>I12 * (1 + APP_INVEST!$D$25) + APP_INVEST!$D$22</f>
        <v>10209.145198147569</v>
      </c>
      <c r="J13" s="44">
        <f>G13 * APP_INVEST!$D$22</f>
        <v>9900</v>
      </c>
      <c r="K13" s="44">
        <f>J13 / (1 + APP_INVEST!$D$24)^G13</f>
        <v>9550.3942536959257</v>
      </c>
    </row>
    <row r="14" spans="1:11" ht="15.6" x14ac:dyDescent="0.3">
      <c r="A14" s="11" t="str">
        <f t="shared" si="0"/>
        <v>Agressivo-PAPEL</v>
      </c>
      <c r="B14" s="40" t="s">
        <v>4</v>
      </c>
      <c r="C14" s="12" t="s">
        <v>6</v>
      </c>
      <c r="D14" s="22">
        <v>0.4</v>
      </c>
      <c r="E14" s="35">
        <v>1.0999999999999999E-2</v>
      </c>
      <c r="G14" s="45">
        <f t="shared" si="1"/>
        <v>12</v>
      </c>
      <c r="H14" s="44">
        <f>H13 * (1 + APP_INVEST!$D$23) + APP_INVEST!$D$22</f>
        <v>11377.812136078588</v>
      </c>
      <c r="I14" s="44">
        <f>I13 * (1 + APP_INVEST!$D$25) + APP_INVEST!$D$22</f>
        <v>11171.739389767448</v>
      </c>
      <c r="J14" s="44">
        <f>G14 * APP_INVEST!$D$22</f>
        <v>10800</v>
      </c>
      <c r="K14" s="44">
        <f>J14 / (1 + APP_INVEST!$D$24)^G14</f>
        <v>10384.615384615379</v>
      </c>
    </row>
    <row r="15" spans="1:11" ht="15.6" x14ac:dyDescent="0.3">
      <c r="A15" s="11" t="str">
        <f t="shared" si="0"/>
        <v>Agressivo-TIJOLO</v>
      </c>
      <c r="B15" s="40" t="s">
        <v>4</v>
      </c>
      <c r="C15" s="12" t="s">
        <v>7</v>
      </c>
      <c r="D15" s="20">
        <v>0.1</v>
      </c>
      <c r="E15" s="35">
        <v>7.4999999999999997E-3</v>
      </c>
      <c r="G15" s="45">
        <f t="shared" si="1"/>
        <v>13</v>
      </c>
      <c r="H15" s="44">
        <f>H14 * (1 + APP_INVEST!$D$23) + APP_INVEST!$D$22</f>
        <v>12385.048015461129</v>
      </c>
      <c r="I15" s="44">
        <f>I14 * (1 + APP_INVEST!$D$25) + APP_INVEST!$D$22</f>
        <v>12140.235427635274</v>
      </c>
      <c r="J15" s="44">
        <f>G15 * APP_INVEST!$D$22</f>
        <v>11700</v>
      </c>
      <c r="K15" s="44">
        <f>J15 / (1 + APP_INVEST!$D$24)^G15</f>
        <v>11213.29060445882</v>
      </c>
    </row>
    <row r="16" spans="1:11" ht="15.6" x14ac:dyDescent="0.3">
      <c r="A16" s="11" t="str">
        <f t="shared" si="0"/>
        <v>Agressivo-HÍBRIDOS</v>
      </c>
      <c r="B16" s="40" t="s">
        <v>4</v>
      </c>
      <c r="C16" s="12" t="s">
        <v>8</v>
      </c>
      <c r="D16" s="20">
        <v>0.05</v>
      </c>
      <c r="E16" s="35">
        <v>8.5000000000000006E-3</v>
      </c>
      <c r="G16" s="45">
        <f t="shared" si="1"/>
        <v>14</v>
      </c>
      <c r="H16" s="44">
        <f>H15 * (1 + APP_INVEST!$D$23) + APP_INVEST!$D$22</f>
        <v>13401.777093006851</v>
      </c>
      <c r="I16" s="44">
        <f>I15 * (1 + APP_INVEST!$D$25) + APP_INVEST!$D$22</f>
        <v>13114.669497081728</v>
      </c>
      <c r="J16" s="44">
        <f>G16 * APP_INVEST!$D$22</f>
        <v>12600</v>
      </c>
      <c r="K16" s="44">
        <f>J16 / (1 + APP_INVEST!$D$24)^G16</f>
        <v>12036.447224072637</v>
      </c>
    </row>
    <row r="17" spans="1:11" ht="15.6" x14ac:dyDescent="0.3">
      <c r="A17" s="11" t="str">
        <f t="shared" si="0"/>
        <v>Agressivo-FOFs</v>
      </c>
      <c r="B17" s="40" t="s">
        <v>4</v>
      </c>
      <c r="C17" s="12" t="s">
        <v>9</v>
      </c>
      <c r="D17" s="20">
        <v>0.05</v>
      </c>
      <c r="E17" s="36">
        <v>8.0000000000000002E-3</v>
      </c>
      <c r="G17" s="45">
        <f t="shared" si="1"/>
        <v>15</v>
      </c>
      <c r="H17" s="44">
        <f>H16 * (1 + APP_INVEST!$D$23) + APP_INVEST!$D$22</f>
        <v>14428.08884210844</v>
      </c>
      <c r="I17" s="44">
        <f>I16 * (1 + APP_INVEST!$D$25) + APP_INVEST!$D$22</f>
        <v>14095.078005296566</v>
      </c>
      <c r="J17" s="44">
        <f>G17 * APP_INVEST!$D$22</f>
        <v>13500</v>
      </c>
      <c r="K17" s="44">
        <f>J17 / (1 + APP_INVEST!$D$24)^G17</f>
        <v>12854.11243511983</v>
      </c>
    </row>
    <row r="18" spans="1:11" ht="15.6" x14ac:dyDescent="0.3">
      <c r="A18" s="11" t="str">
        <f t="shared" si="0"/>
        <v>Agressivo-DESENVOLVIMENTO</v>
      </c>
      <c r="B18" s="40" t="s">
        <v>4</v>
      </c>
      <c r="C18" s="12" t="s">
        <v>10</v>
      </c>
      <c r="D18" s="20">
        <v>0.25</v>
      </c>
      <c r="E18" s="36">
        <v>1.2E-2</v>
      </c>
      <c r="G18" s="45">
        <f t="shared" si="1"/>
        <v>16</v>
      </c>
      <c r="H18" s="44">
        <f>H17 * (1 + APP_INVEST!$D$23) + APP_INVEST!$D$22</f>
        <v>15464.073579445312</v>
      </c>
      <c r="I18" s="44">
        <f>I17 * (1 + APP_INVEST!$D$25) + APP_INVEST!$D$22</f>
        <v>15081.497582688879</v>
      </c>
      <c r="J18" s="44">
        <f>G18 * APP_INVEST!$D$22</f>
        <v>14400</v>
      </c>
      <c r="K18" s="44">
        <f>J18 / (1 + APP_INVEST!$D$24)^G18</f>
        <v>13666.313310567022</v>
      </c>
    </row>
    <row r="19" spans="1:11" ht="16.2" thickBot="1" x14ac:dyDescent="0.35">
      <c r="A19" s="13" t="str">
        <f t="shared" si="0"/>
        <v>Agressivo-HOTELARIAS</v>
      </c>
      <c r="B19" s="41" t="s">
        <v>4</v>
      </c>
      <c r="C19" s="4" t="s">
        <v>11</v>
      </c>
      <c r="D19" s="21">
        <v>0.15</v>
      </c>
      <c r="E19" s="37">
        <v>0.01</v>
      </c>
      <c r="G19" s="45">
        <f t="shared" si="1"/>
        <v>17</v>
      </c>
      <c r="H19" s="44">
        <f>H18 * (1 + APP_INVEST!$D$23) + APP_INVEST!$D$22</f>
        <v>16509.822472931584</v>
      </c>
      <c r="I19" s="44">
        <f>I18 * (1 + APP_INVEST!$D$25) + APP_INVEST!$D$22</f>
        <v>16073.965084255695</v>
      </c>
      <c r="J19" s="44">
        <f>G19 * APP_INVEST!$D$22</f>
        <v>15300</v>
      </c>
      <c r="K19" s="44">
        <f>J19 / (1 + APP_INVEST!$D$24)^G19</f>
        <v>14473.076805169556</v>
      </c>
    </row>
    <row r="20" spans="1:11" x14ac:dyDescent="0.3">
      <c r="G20" s="45">
        <f t="shared" si="1"/>
        <v>18</v>
      </c>
      <c r="H20" s="44">
        <f>H19 * (1 + APP_INVEST!$D$23) + APP_INVEST!$D$22</f>
        <v>17565.427549738964</v>
      </c>
      <c r="I20" s="44">
        <f>I19 * (1 + APP_INVEST!$D$25) + APP_INVEST!$D$22</f>
        <v>17072.517590958967</v>
      </c>
      <c r="J20" s="44">
        <f>G20 * APP_INVEST!$D$22</f>
        <v>16200</v>
      </c>
      <c r="K20" s="44">
        <f>J20 / (1 + APP_INVEST!$D$24)^G20</f>
        <v>15274.429755954707</v>
      </c>
    </row>
    <row r="21" spans="1:11" x14ac:dyDescent="0.3">
      <c r="G21" s="45">
        <f t="shared" si="1"/>
        <v>19</v>
      </c>
      <c r="H21" s="44">
        <f>H20 * (1 + APP_INVEST!$D$23) + APP_INVEST!$D$22</f>
        <v>18630.981704395253</v>
      </c>
      <c r="I21" s="44">
        <f>I20 * (1 + APP_INVEST!$D$25) + APP_INVEST!$D$22</f>
        <v>18077.192411111013</v>
      </c>
      <c r="J21" s="44">
        <f>G21 * APP_INVEST!$D$22</f>
        <v>17100</v>
      </c>
      <c r="K21" s="44">
        <f>J21 / (1 + APP_INVEST!$D$24)^G21</f>
        <v>16070.39888270297</v>
      </c>
    </row>
    <row r="22" spans="1:11" x14ac:dyDescent="0.3">
      <c r="G22" s="45">
        <f t="shared" si="1"/>
        <v>20</v>
      </c>
      <c r="H22" s="44">
        <f>H21 * (1 + APP_INVEST!$D$23) + APP_INVEST!$D$22</f>
        <v>19706.578706959179</v>
      </c>
      <c r="I22" s="44">
        <f>I21 * (1 + APP_INVEST!$D$25) + APP_INVEST!$D$22</f>
        <v>19088.027081768436</v>
      </c>
      <c r="J22" s="44">
        <f>G22 * APP_INVEST!$D$22</f>
        <v>18000</v>
      </c>
      <c r="K22" s="44">
        <f>J22 / (1 + APP_INVEST!$D$24)^G22</f>
        <v>16861.010788427491</v>
      </c>
    </row>
    <row r="23" spans="1:11" x14ac:dyDescent="0.3">
      <c r="G23" s="45">
        <f t="shared" si="1"/>
        <v>21</v>
      </c>
      <c r="H23" s="44">
        <f>H22 * (1 + APP_INVEST!$D$23) + APP_INVEST!$D$22</f>
        <v>20792.313211272271</v>
      </c>
      <c r="I23" s="44">
        <f>I22 * (1 + APP_INVEST!$D$25) + APP_INVEST!$D$22</f>
        <v>20105.059370134601</v>
      </c>
      <c r="J23" s="44">
        <f>G23 * APP_INVEST!$D$22</f>
        <v>18900</v>
      </c>
      <c r="K23" s="44">
        <f>J23 / (1 + APP_INVEST!$D$24)^G23</f>
        <v>17646.291959851605</v>
      </c>
    </row>
    <row r="24" spans="1:11" x14ac:dyDescent="0.3">
      <c r="G24" s="45">
        <f t="shared" si="1"/>
        <v>22</v>
      </c>
      <c r="H24" s="44">
        <f>H23 * (1 + APP_INVEST!$D$23) + APP_INVEST!$D$22</f>
        <v>21888.280763288512</v>
      </c>
      <c r="I24" s="44">
        <f>I23 * (1 + APP_INVEST!$D$25) + APP_INVEST!$D$22</f>
        <v>21128.327274970707</v>
      </c>
      <c r="J24" s="44">
        <f>G24 * APP_INVEST!$D$22</f>
        <v>19800</v>
      </c>
      <c r="K24" s="44">
        <f>J24 / (1 + APP_INVEST!$D$24)^G24</f>
        <v>18426.268767884481</v>
      </c>
    </row>
    <row r="25" spans="1:11" x14ac:dyDescent="0.3">
      <c r="G25" s="45">
        <f t="shared" si="1"/>
        <v>23</v>
      </c>
      <c r="H25" s="44">
        <f>H24 * (1 + APP_INVEST!$D$23) + APP_INVEST!$D$22</f>
        <v>22994.577809482507</v>
      </c>
      <c r="I25" s="44">
        <f>I24 * (1 + APP_INVEST!$D$25) + APP_INVEST!$D$22</f>
        <v>22157.869028015517</v>
      </c>
      <c r="J25" s="44">
        <f>G25 * APP_INVEST!$D$22</f>
        <v>20700</v>
      </c>
      <c r="K25" s="44">
        <f>J25 / (1 + APP_INVEST!$D$24)^G25</f>
        <v>19200.967468094947</v>
      </c>
    </row>
    <row r="26" spans="1:11" x14ac:dyDescent="0.3">
      <c r="G26" s="45">
        <f t="shared" si="1"/>
        <v>24</v>
      </c>
      <c r="H26" s="44">
        <f>H25 * (1 + APP_INVEST!$D$23) + APP_INVEST!$D$22</f>
        <v>24111.301705336879</v>
      </c>
      <c r="I26" s="44">
        <f>I25 * (1 + APP_INVEST!$D$25) + APP_INVEST!$D$22</f>
        <v>23193.723095413778</v>
      </c>
      <c r="J26" s="44">
        <f>G26 * APP_INVEST!$D$22</f>
        <v>21600</v>
      </c>
      <c r="K26" s="44">
        <f>J26 / (1 + APP_INVEST!$D$24)^G26</f>
        <v>19970.414201183408</v>
      </c>
    </row>
    <row r="27" spans="1:11" x14ac:dyDescent="0.3">
      <c r="G27" s="45">
        <f t="shared" si="1"/>
        <v>25</v>
      </c>
      <c r="H27" s="44">
        <f>H26 * (1 + APP_INVEST!$D$23) + APP_INVEST!$D$22</f>
        <v>25238.550723909681</v>
      </c>
      <c r="I27" s="44">
        <f>I26 * (1 + APP_INVEST!$D$25) + APP_INVEST!$D$22</f>
        <v>24235.928179153419</v>
      </c>
      <c r="J27" s="44">
        <f>G27 * APP_INVEST!$D$22</f>
        <v>22500</v>
      </c>
      <c r="K27" s="44">
        <f>J27 / (1 + APP_INVEST!$D$24)^G27</f>
        <v>20734.634993451949</v>
      </c>
    </row>
    <row r="28" spans="1:11" x14ac:dyDescent="0.3">
      <c r="G28" s="45">
        <f t="shared" si="1"/>
        <v>26</v>
      </c>
      <c r="H28" s="44">
        <f>H27 * (1 + APP_INVEST!$D$23) + APP_INVEST!$D$22</f>
        <v>26376.42406448253</v>
      </c>
      <c r="I28" s="44">
        <f>I27 * (1 + APP_INVEST!$D$25) + APP_INVEST!$D$22</f>
        <v>25284.523218511546</v>
      </c>
      <c r="J28" s="44">
        <f>G28 * APP_INVEST!$D$22</f>
        <v>23400</v>
      </c>
      <c r="K28" s="44">
        <f>J28 / (1 + APP_INVEST!$D$24)^G28</f>
        <v>21493.655757272558</v>
      </c>
    </row>
    <row r="29" spans="1:11" x14ac:dyDescent="0.3">
      <c r="G29" s="45">
        <f t="shared" si="1"/>
        <v>27</v>
      </c>
      <c r="H29" s="44">
        <f>H28 * (1 + APP_INVEST!$D$23) + APP_INVEST!$D$22</f>
        <v>27525.021861290279</v>
      </c>
      <c r="I29" s="44">
        <f>I28 * (1 + APP_INVEST!$D$25) + APP_INVEST!$D$22</f>
        <v>26339.547391509295</v>
      </c>
      <c r="J29" s="44">
        <f>G29 * APP_INVEST!$D$22</f>
        <v>24300</v>
      </c>
      <c r="K29" s="44">
        <f>J29 / (1 + APP_INVEST!$D$24)^G29</f>
        <v>22247.502291553537</v>
      </c>
    </row>
    <row r="30" spans="1:11" x14ac:dyDescent="0.3">
      <c r="G30" s="45">
        <f t="shared" si="1"/>
        <v>28</v>
      </c>
      <c r="H30" s="44">
        <f>H29 * (1 + APP_INVEST!$D$23) + APP_INVEST!$D$22</f>
        <v>28684.44519233294</v>
      </c>
      <c r="I30" s="44">
        <f>I29 * (1 + APP_INVEST!$D$25) + APP_INVEST!$D$22</f>
        <v>27401.04011637564</v>
      </c>
      <c r="J30" s="44">
        <f>G30 * APP_INVEST!$D$22</f>
        <v>25200</v>
      </c>
      <c r="K30" s="44">
        <f>J30 / (1 + APP_INVEST!$D$24)^G30</f>
        <v>22996.200282204114</v>
      </c>
    </row>
    <row r="31" spans="1:11" x14ac:dyDescent="0.3">
      <c r="G31" s="45">
        <f t="shared" si="1"/>
        <v>29</v>
      </c>
      <c r="H31" s="44">
        <f>H30 * (1 + APP_INVEST!$D$23) + APP_INVEST!$D$22</f>
        <v>29854.796088270679</v>
      </c>
      <c r="I31" s="44">
        <f>I30 * (1 + APP_INVEST!$D$25) + APP_INVEST!$D$22</f>
        <v>28469.04105302013</v>
      </c>
      <c r="J31" s="44">
        <f>G31 * APP_INVEST!$D$22</f>
        <v>26100</v>
      </c>
      <c r="K31" s="44">
        <f>J31 / (1 + APP_INVEST!$D$24)^G31</f>
        <v>23739.775302597111</v>
      </c>
    </row>
    <row r="32" spans="1:11" x14ac:dyDescent="0.3">
      <c r="G32" s="45">
        <f t="shared" si="1"/>
        <v>30</v>
      </c>
      <c r="H32" s="44">
        <f>H31 * (1 + APP_INVEST!$D$23) + APP_INVEST!$D$22</f>
        <v>31036.177541402631</v>
      </c>
      <c r="I32" s="44">
        <f>I31 * (1 + APP_INVEST!$D$25) + APP_INVEST!$D$22</f>
        <v>29543.590104514693</v>
      </c>
      <c r="J32" s="44">
        <f>G32 * APP_INVEST!$D$22</f>
        <v>27000</v>
      </c>
      <c r="K32" s="44">
        <f>J32 / (1 + APP_INVEST!$D$24)^G32</f>
        <v>24478.252814029962</v>
      </c>
    </row>
    <row r="33" spans="7:11" x14ac:dyDescent="0.3">
      <c r="G33" s="45">
        <f t="shared" si="1"/>
        <v>31</v>
      </c>
      <c r="H33" s="44">
        <f>H32 * (1 + APP_INVEST!$D$23) + APP_INVEST!$D$22</f>
        <v>32228.693514730352</v>
      </c>
      <c r="I33" s="44">
        <f>I32 * (1 + APP_INVEST!$D$25) + APP_INVEST!$D$22</f>
        <v>30624.727418584502</v>
      </c>
      <c r="J33" s="44">
        <f>G33 * APP_INVEST!$D$22</f>
        <v>27900</v>
      </c>
      <c r="K33" s="44">
        <f>J33 / (1 + APP_INVEST!$D$24)^G33</f>
        <v>25211.658166183792</v>
      </c>
    </row>
    <row r="34" spans="7:11" x14ac:dyDescent="0.3">
      <c r="G34" s="45">
        <f t="shared" si="1"/>
        <v>32</v>
      </c>
      <c r="H34" s="44">
        <f>H33 * (1 + APP_INVEST!$D$23) + APP_INVEST!$D$22</f>
        <v>33432.448951106686</v>
      </c>
      <c r="I34" s="44">
        <f>I33 * (1 + APP_INVEST!$D$25) + APP_INVEST!$D$22</f>
        <v>31712.493389107996</v>
      </c>
      <c r="J34" s="44">
        <f>G34 * APP_INVEST!$D$22</f>
        <v>28800</v>
      </c>
      <c r="K34" s="44">
        <f>J34 / (1 + APP_INVEST!$D$24)^G34</f>
        <v>25940.016597580739</v>
      </c>
    </row>
    <row r="35" spans="7:11" x14ac:dyDescent="0.3">
      <c r="G35" s="45">
        <f t="shared" si="1"/>
        <v>33</v>
      </c>
      <c r="H35" s="44">
        <f>H34 * (1 + APP_INVEST!$D$23) + APP_INVEST!$D$22</f>
        <v>34647.549782470865</v>
      </c>
      <c r="I35" s="44">
        <f>I34 * (1 + APP_INVEST!$D$25) + APP_INVEST!$D$22</f>
        <v>32806.928657626086</v>
      </c>
      <c r="J35" s="44">
        <f>G35 * APP_INVEST!$D$22</f>
        <v>29700</v>
      </c>
      <c r="K35" s="44">
        <f>J35 / (1 + APP_INVEST!$D$24)^G35</f>
        <v>26663.353236039497</v>
      </c>
    </row>
    <row r="36" spans="7:11" x14ac:dyDescent="0.3">
      <c r="G36" s="45">
        <f t="shared" si="1"/>
        <v>34</v>
      </c>
      <c r="H36" s="44">
        <f>H35 * (1 + APP_INVEST!$D$23) + APP_INVEST!$D$22</f>
        <v>35874.102939170654</v>
      </c>
      <c r="I36" s="44">
        <f>I35 * (1 + APP_INVEST!$D$25) + APP_INVEST!$D$22</f>
        <v>33908.074114860618</v>
      </c>
      <c r="J36" s="44">
        <f>G36 * APP_INVEST!$D$22</f>
        <v>30600</v>
      </c>
      <c r="K36" s="44">
        <f>J36 / (1 + APP_INVEST!$D$24)^G36</f>
        <v>27381.693099129025</v>
      </c>
    </row>
    <row r="37" spans="7:11" x14ac:dyDescent="0.3">
      <c r="G37" s="45">
        <f t="shared" si="1"/>
        <v>35</v>
      </c>
      <c r="H37" s="44">
        <f>H36 * (1 + APP_INVEST!$D$23) + APP_INVEST!$D$22</f>
        <v>37112.216359372338</v>
      </c>
      <c r="I37" s="44">
        <f>I36 * (1 + APP_INVEST!$D$25) + APP_INVEST!$D$22</f>
        <v>35015.970902242167</v>
      </c>
      <c r="J37" s="44">
        <f>G37 * APP_INVEST!$D$22</f>
        <v>31500</v>
      </c>
      <c r="K37" s="44">
        <f>J37 / (1 + APP_INVEST!$D$24)^G37</f>
        <v>28095.06109462052</v>
      </c>
    </row>
    <row r="38" spans="7:11" x14ac:dyDescent="0.3">
      <c r="G38" s="45">
        <f t="shared" si="1"/>
        <v>36</v>
      </c>
      <c r="H38" s="44">
        <f>H37 * (1 + APP_INVEST!$D$23) + APP_INVEST!$D$22</f>
        <v>38361.998998559422</v>
      </c>
      <c r="I38" s="44">
        <f>I37 * (1 + APP_INVEST!$D$25) + APP_INVEST!$D$22</f>
        <v>36130.660413447156</v>
      </c>
      <c r="J38" s="44">
        <f>G38 * APP_INVEST!$D$22</f>
        <v>32400</v>
      </c>
      <c r="K38" s="44">
        <f>J38 / (1 + APP_INVEST!$D$24)^G38</f>
        <v>28803.482020937594</v>
      </c>
    </row>
    <row r="39" spans="7:11" x14ac:dyDescent="0.3">
      <c r="G39" s="45">
        <f t="shared" si="1"/>
        <v>37</v>
      </c>
      <c r="H39" s="44">
        <f>H38 * (1 + APP_INVEST!$D$23) + APP_INVEST!$D$22</f>
        <v>39623.560839120844</v>
      </c>
      <c r="I39" s="44">
        <f>I38 * (1 + APP_INVEST!$D$25) + APP_INVEST!$D$22</f>
        <v>37252.184295944433</v>
      </c>
      <c r="J39" s="44">
        <f>G39 * APP_INVEST!$D$22</f>
        <v>33300</v>
      </c>
      <c r="K39" s="44">
        <f>J39 / (1 + APP_INVEST!$D$24)^G39</f>
        <v>29506.980567604682</v>
      </c>
    </row>
    <row r="40" spans="7:11" x14ac:dyDescent="0.3">
      <c r="G40" s="45">
        <f t="shared" si="1"/>
        <v>38</v>
      </c>
      <c r="H40" s="44">
        <f>H39 * (1 + APP_INVEST!$D$23) + APP_INVEST!$D$22</f>
        <v>40897.012900029556</v>
      </c>
      <c r="I40" s="44">
        <f>I39 * (1 + APP_INVEST!$D$25) + APP_INVEST!$D$22</f>
        <v>38380.584452551324</v>
      </c>
      <c r="J40" s="44">
        <f>G40 * APP_INVEST!$D$22</f>
        <v>34200</v>
      </c>
      <c r="K40" s="44">
        <f>J40 / (1 + APP_INVEST!$D$24)^G40</f>
        <v>30205.58131569366</v>
      </c>
    </row>
    <row r="41" spans="7:11" x14ac:dyDescent="0.3">
      <c r="G41" s="45">
        <f t="shared" si="1"/>
        <v>39</v>
      </c>
      <c r="H41" s="44">
        <f>H40 * (1 + APP_INVEST!$D$23) + APP_INVEST!$D$22</f>
        <v>42182.467246612337</v>
      </c>
      <c r="I41" s="44">
        <f>I40 * (1 + APP_INVEST!$D$25) + APP_INVEST!$D$22</f>
        <v>39515.903042999213</v>
      </c>
      <c r="J41" s="44">
        <f>G41 * APP_INVEST!$D$22</f>
        <v>35100</v>
      </c>
      <c r="K41" s="44">
        <f>J41 / (1 + APP_INVEST!$D$24)^G41</f>
        <v>30899.308738268788</v>
      </c>
    </row>
    <row r="42" spans="7:11" x14ac:dyDescent="0.3">
      <c r="G42" s="45">
        <f t="shared" si="1"/>
        <v>40</v>
      </c>
      <c r="H42" s="44">
        <f>H41 * (1 + APP_INVEST!$D$23) + APP_INVEST!$D$22</f>
        <v>43480.037000411663</v>
      </c>
      <c r="I42" s="44">
        <f>I41 * (1 + APP_INVEST!$D$25) + APP_INVEST!$D$22</f>
        <v>40658.18248550874</v>
      </c>
      <c r="J42" s="44">
        <f>G42 * APP_INVEST!$D$22</f>
        <v>36000</v>
      </c>
      <c r="K42" s="44">
        <f>J42 / (1 + APP_INVEST!$D$24)^G42</f>
        <v>31588.187200829805</v>
      </c>
    </row>
    <row r="43" spans="7:11" x14ac:dyDescent="0.3">
      <c r="G43" s="45">
        <f t="shared" si="1"/>
        <v>41</v>
      </c>
      <c r="H43" s="44">
        <f>H42 * (1 + APP_INVEST!$D$23) + APP_INVEST!$D$22</f>
        <v>44789.836349140547</v>
      </c>
      <c r="I43" s="44">
        <f>I42 * (1 + APP_INVEST!$D$25) + APP_INVEST!$D$22</f>
        <v>41807.465458374645</v>
      </c>
      <c r="J43" s="44">
        <f>G43 * APP_INVEST!$D$22</f>
        <v>36900</v>
      </c>
      <c r="K43" s="44">
        <f>J43 / (1 + APP_INVEST!$D$24)^G43</f>
        <v>32272.240961753349</v>
      </c>
    </row>
    <row r="44" spans="7:11" x14ac:dyDescent="0.3">
      <c r="G44" s="45">
        <f t="shared" si="1"/>
        <v>42</v>
      </c>
      <c r="H44" s="44">
        <f>H43 * (1 + APP_INVEST!$D$23) + APP_INVEST!$D$22</f>
        <v>46111.9805567312</v>
      </c>
      <c r="I44" s="44">
        <f>I43 * (1 + APP_INVEST!$D$25) + APP_INVEST!$D$22</f>
        <v>42963.79490156033</v>
      </c>
      <c r="J44" s="44">
        <f>G44 * APP_INVEST!$D$22</f>
        <v>37800</v>
      </c>
      <c r="K44" s="44">
        <f>J44 / (1 + APP_INVEST!$D$24)^G44</f>
        <v>32951.49417273263</v>
      </c>
    </row>
    <row r="45" spans="7:11" x14ac:dyDescent="0.3">
      <c r="G45" s="45">
        <f t="shared" si="1"/>
        <v>43</v>
      </c>
      <c r="H45" s="44">
        <f>H44 * (1 + APP_INVEST!$D$23) + APP_INVEST!$D$22</f>
        <v>47446.585973478395</v>
      </c>
      <c r="I45" s="44">
        <f>I44 * (1 + APP_INVEST!$D$25) + APP_INVEST!$D$22</f>
        <v>44127.214018302191</v>
      </c>
      <c r="J45" s="44">
        <f>G45 * APP_INVEST!$D$22</f>
        <v>38700</v>
      </c>
      <c r="K45" s="44">
        <f>J45 / (1 + APP_INVEST!$D$24)^G45</f>
        <v>33625.970879215332</v>
      </c>
    </row>
    <row r="46" spans="7:11" x14ac:dyDescent="0.3">
      <c r="G46" s="45">
        <f t="shared" si="1"/>
        <v>44</v>
      </c>
      <c r="H46" s="44">
        <f>H45 * (1 + APP_INVEST!$D$23) + APP_INVEST!$D$22</f>
        <v>48793.770046278427</v>
      </c>
      <c r="I46" s="44">
        <f>I45 * (1 + APP_INVEST!$D$25) + APP_INVEST!$D$22</f>
        <v>45297.766276723807</v>
      </c>
      <c r="J46" s="44">
        <f>G46 * APP_INVEST!$D$22</f>
        <v>39600</v>
      </c>
      <c r="K46" s="44">
        <f>J46 / (1 + APP_INVEST!$D$24)^G46</f>
        <v>34295.695020839907</v>
      </c>
    </row>
    <row r="47" spans="7:11" x14ac:dyDescent="0.3">
      <c r="G47" s="45">
        <f t="shared" si="1"/>
        <v>45</v>
      </c>
      <c r="H47" s="44">
        <f>H46 * (1 + APP_INVEST!$D$23) + APP_INVEST!$D$22</f>
        <v>50153.651328964603</v>
      </c>
      <c r="I47" s="44">
        <f>I46 * (1 + APP_INVEST!$D$25) + APP_INVEST!$D$22</f>
        <v>46475.495411460004</v>
      </c>
      <c r="J47" s="44">
        <f>G47 * APP_INVEST!$D$22</f>
        <v>40500</v>
      </c>
      <c r="K47" s="44">
        <f>J47 / (1 + APP_INVEST!$D$24)^G47</f>
        <v>34960.690431869953</v>
      </c>
    </row>
    <row r="48" spans="7:11" x14ac:dyDescent="0.3">
      <c r="G48" s="45">
        <f t="shared" si="1"/>
        <v>46</v>
      </c>
      <c r="H48" s="44">
        <f>H47 * (1 + APP_INVEST!$D$23) + APP_INVEST!$D$22</f>
        <v>51526.349492740097</v>
      </c>
      <c r="I48" s="44">
        <f>I47 * (1 + APP_INVEST!$D$25) + APP_INVEST!$D$22</f>
        <v>47660.445425290898</v>
      </c>
      <c r="J48" s="44">
        <f>G48 * APP_INVEST!$D$22</f>
        <v>41400</v>
      </c>
      <c r="K48" s="44">
        <f>J48 / (1 + APP_INVEST!$D$24)^G48</f>
        <v>35620.980841627097</v>
      </c>
    </row>
    <row r="49" spans="7:11" x14ac:dyDescent="0.3">
      <c r="G49" s="45">
        <f t="shared" si="1"/>
        <v>47</v>
      </c>
      <c r="H49" s="44">
        <f>H48 * (1 + APP_INVEST!$D$23) + APP_INVEST!$D$22</f>
        <v>52911.985336709171</v>
      </c>
      <c r="I49" s="44">
        <f>I48 * (1 + APP_INVEST!$D$25) + APP_INVEST!$D$22</f>
        <v>48852.660590785927</v>
      </c>
      <c r="J49" s="44">
        <f>G49 * APP_INVEST!$D$22</f>
        <v>42300</v>
      </c>
      <c r="K49" s="44">
        <f>J49 / (1 + APP_INVEST!$D$24)^G49</f>
        <v>36276.589874922072</v>
      </c>
    </row>
    <row r="50" spans="7:11" x14ac:dyDescent="0.3">
      <c r="G50" s="45">
        <f t="shared" si="1"/>
        <v>48</v>
      </c>
      <c r="H50" s="44">
        <f>H49 * (1 + APP_INVEST!$D$23) + APP_INVEST!$D$22</f>
        <v>54310.680798507659</v>
      </c>
      <c r="I50" s="44">
        <f>I49 * (1 + APP_INVEST!$D$25) + APP_INVEST!$D$22</f>
        <v>50052.185451957987</v>
      </c>
      <c r="J50" s="44">
        <f>G50 * APP_INVEST!$D$22</f>
        <v>43200</v>
      </c>
      <c r="K50" s="44">
        <f>J50 / (1 + APP_INVEST!$D$24)^G50</f>
        <v>36927.541052484077</v>
      </c>
    </row>
    <row r="51" spans="7:11" x14ac:dyDescent="0.3">
      <c r="G51" s="45">
        <f t="shared" si="1"/>
        <v>49</v>
      </c>
      <c r="H51" s="44">
        <f>H50 * (1 + APP_INVEST!$D$23) + APP_INVEST!$D$22</f>
        <v>55722.558965033597</v>
      </c>
      <c r="I51" s="44">
        <f>I50 * (1 + APP_INVEST!$D$25) + APP_INVEST!$D$22</f>
        <v>51259.064825927715</v>
      </c>
      <c r="J51" s="44">
        <f>G51 * APP_INVEST!$D$22</f>
        <v>44100</v>
      </c>
      <c r="K51" s="44">
        <f>J51 / (1 + APP_INVEST!$D$24)^G51</f>
        <v>37573.857791388473</v>
      </c>
    </row>
    <row r="52" spans="7:11" x14ac:dyDescent="0.3">
      <c r="G52" s="45">
        <f t="shared" si="1"/>
        <v>50</v>
      </c>
      <c r="H52" s="44">
        <f>H51 * (1 + APP_INVEST!$D$23) + APP_INVEST!$D$22</f>
        <v>57147.744083279038</v>
      </c>
      <c r="I52" s="44">
        <f>I51 * (1 + APP_INVEST!$D$25) + APP_INVEST!$D$22</f>
        <v>52473.343804597949</v>
      </c>
      <c r="J52" s="44">
        <f>G52 * APP_INVEST!$D$22</f>
        <v>45000</v>
      </c>
      <c r="K52" s="44">
        <f>J52 / (1 + APP_INVEST!$D$24)^G52</f>
        <v>38215.563405482855</v>
      </c>
    </row>
    <row r="53" spans="7:11" x14ac:dyDescent="0.3">
      <c r="G53" s="45">
        <f t="shared" si="1"/>
        <v>51</v>
      </c>
      <c r="H53" s="44">
        <f>H52 * (1 + APP_INVEST!$D$23) + APP_INVEST!$D$22</f>
        <v>58586.361571263944</v>
      </c>
      <c r="I53" s="44">
        <f>I52 * (1 + APP_INVEST!$D$25) + APP_INVEST!$D$22</f>
        <v>53695.067756338467</v>
      </c>
      <c r="J53" s="44">
        <f>G53 * APP_INVEST!$D$22</f>
        <v>45900</v>
      </c>
      <c r="K53" s="44">
        <f>J53 / (1 + APP_INVEST!$D$24)^G53</f>
        <v>38852.681105811331</v>
      </c>
    </row>
    <row r="54" spans="7:11" x14ac:dyDescent="0.3">
      <c r="G54" s="45">
        <f t="shared" si="1"/>
        <v>52</v>
      </c>
      <c r="H54" s="44">
        <f>H53 * (1 + APP_INVEST!$D$23) + APP_INVEST!$D$22</f>
        <v>60038.538029073105</v>
      </c>
      <c r="I54" s="44">
        <f>I53 * (1 + APP_INVEST!$D$25) + APP_INVEST!$D$22</f>
        <v>54924.282327681081</v>
      </c>
      <c r="J54" s="44">
        <f>G54 * APP_INVEST!$D$22</f>
        <v>46800</v>
      </c>
      <c r="K54" s="44">
        <f>J54 / (1 + APP_INVEST!$D$24)^G54</f>
        <v>39485.234001037235</v>
      </c>
    </row>
    <row r="55" spans="7:11" x14ac:dyDescent="0.3">
      <c r="G55" s="45">
        <f t="shared" si="1"/>
        <v>53</v>
      </c>
      <c r="H55" s="44">
        <f>H54 * (1 + APP_INVEST!$D$23) + APP_INVEST!$D$22</f>
        <v>61504.401249997121</v>
      </c>
      <c r="I55" s="44">
        <f>I54 * (1 + APP_INVEST!$D$25) + APP_INVEST!$D$22</f>
        <v>56161.033445025067</v>
      </c>
      <c r="J55" s="44">
        <f>G55 * APP_INVEST!$D$22</f>
        <v>47700</v>
      </c>
      <c r="K55" s="44">
        <f>J55 / (1 + APP_INVEST!$D$24)^G55</f>
        <v>40113.245097864135</v>
      </c>
    </row>
    <row r="56" spans="7:11" x14ac:dyDescent="0.3">
      <c r="G56" s="45">
        <f t="shared" si="1"/>
        <v>54</v>
      </c>
      <c r="H56" s="44">
        <f>H55 * (1 + APP_INVEST!$D$23) + APP_INVEST!$D$22</f>
        <v>62984.080231778345</v>
      </c>
      <c r="I56" s="44">
        <f>I55 * (1 + APP_INVEST!$D$25) + APP_INVEST!$D$22</f>
        <v>57405.367316353113</v>
      </c>
      <c r="J56" s="44">
        <f>G56 * APP_INVEST!$D$22</f>
        <v>48600</v>
      </c>
      <c r="K56" s="44">
        <f>J56 / (1 + APP_INVEST!$D$24)^G56</f>
        <v>40736.737301455141</v>
      </c>
    </row>
    <row r="57" spans="7:11" x14ac:dyDescent="0.3">
      <c r="G57" s="45">
        <f t="shared" si="1"/>
        <v>55</v>
      </c>
      <c r="H57" s="44">
        <f>H56 * (1 + APP_INVEST!$D$23) + APP_INVEST!$D$22</f>
        <v>64477.705187962856</v>
      </c>
      <c r="I57" s="44">
        <f>I56 * (1 + APP_INVEST!$D$25) + APP_INVEST!$D$22</f>
        <v>58657.330432957759</v>
      </c>
      <c r="J57" s="44">
        <f>G57 * APP_INVEST!$D$22</f>
        <v>49500</v>
      </c>
      <c r="K57" s="44">
        <f>J57 / (1 + APP_INVEST!$D$24)^G57</f>
        <v>41355.733415850686</v>
      </c>
    </row>
    <row r="58" spans="7:11" x14ac:dyDescent="0.3">
      <c r="G58" s="45">
        <f t="shared" si="1"/>
        <v>56</v>
      </c>
      <c r="H58" s="44">
        <f>H57 * (1 + APP_INVEST!$D$23) + APP_INVEST!$D$22</f>
        <v>65985.407559359417</v>
      </c>
      <c r="I58" s="44">
        <f>I57 * (1 + APP_INVEST!$D$25) + APP_INVEST!$D$22</f>
        <v>59916.969571178393</v>
      </c>
      <c r="J58" s="44">
        <f>G58 * APP_INVEST!$D$22</f>
        <v>50400</v>
      </c>
      <c r="K58" s="44">
        <f>J58 / (1 + APP_INVEST!$D$24)^G58</f>
        <v>41970.256144384475</v>
      </c>
    </row>
    <row r="59" spans="7:11" x14ac:dyDescent="0.3">
      <c r="G59" s="45">
        <f t="shared" si="1"/>
        <v>57</v>
      </c>
      <c r="H59" s="44">
        <f>H58 * (1 + APP_INVEST!$D$23) + APP_INVEST!$D$22</f>
        <v>67507.320025606386</v>
      </c>
      <c r="I59" s="44">
        <f>I58 * (1 + APP_INVEST!$D$25) + APP_INVEST!$D$22</f>
        <v>61184.331794148959</v>
      </c>
      <c r="J59" s="44">
        <f>G59 * APP_INVEST!$D$22</f>
        <v>51300</v>
      </c>
      <c r="K59" s="44">
        <f>J59 / (1 + APP_INVEST!$D$24)^G59</f>
        <v>42580.328090097988</v>
      </c>
    </row>
    <row r="60" spans="7:11" x14ac:dyDescent="0.3">
      <c r="G60" s="45">
        <f t="shared" si="1"/>
        <v>58</v>
      </c>
      <c r="H60" s="44">
        <f>H59 * (1 + APP_INVEST!$D$23) + APP_INVEST!$D$22</f>
        <v>69043.576516847723</v>
      </c>
      <c r="I60" s="44">
        <f>I59 * (1 + APP_INVEST!$D$25) + APP_INVEST!$D$22</f>
        <v>62459.464453556342</v>
      </c>
      <c r="J60" s="44">
        <f>G60 * APP_INVEST!$D$22</f>
        <v>52200</v>
      </c>
      <c r="K60" s="44">
        <f>J60 / (1 + APP_INVEST!$D$24)^G60</f>
        <v>43185.971756153238</v>
      </c>
    </row>
    <row r="61" spans="7:11" x14ac:dyDescent="0.3">
      <c r="G61" s="45">
        <f t="shared" si="1"/>
        <v>59</v>
      </c>
      <c r="H61" s="44">
        <f>H60 * (1 + APP_INVEST!$D$23) + APP_INVEST!$D$22</f>
        <v>70594.31222551901</v>
      </c>
      <c r="I61" s="44">
        <f>I60 * (1 + APP_INVEST!$D$25) + APP_INVEST!$D$22</f>
        <v>63742.415191409527</v>
      </c>
      <c r="J61" s="44">
        <f>G61 * APP_INVEST!$D$22</f>
        <v>53100</v>
      </c>
      <c r="K61" s="44">
        <f>J61 / (1 + APP_INVEST!$D$24)^G61</f>
        <v>43787.209546243881</v>
      </c>
    </row>
    <row r="62" spans="7:11" x14ac:dyDescent="0.3">
      <c r="G62" s="45">
        <f t="shared" si="1"/>
        <v>60</v>
      </c>
      <c r="H62" s="44">
        <f>H61 * (1 + APP_INVEST!$D$23) + APP_INVEST!$D$22</f>
        <v>72159.663618244522</v>
      </c>
      <c r="I62" s="44">
        <f>I61 * (1 + APP_INVEST!$D$25) + APP_INVEST!$D$22</f>
        <v>65033.231941819635</v>
      </c>
      <c r="J62" s="44">
        <f>G62 * APP_INVEST!$D$22</f>
        <v>54000</v>
      </c>
      <c r="K62" s="44">
        <f>J62 / (1 + APP_INVEST!$D$24)^G62</f>
        <v>44384.063765004888</v>
      </c>
    </row>
    <row r="63" spans="7:11" x14ac:dyDescent="0.3">
      <c r="G63" s="45">
        <f t="shared" si="1"/>
        <v>61</v>
      </c>
      <c r="H63" s="44">
        <f>H62 * (1 + APP_INVEST!$D$23) + APP_INVEST!$D$22</f>
        <v>73739.76844784648</v>
      </c>
      <c r="I63" s="44">
        <f>I62 * (1 + APP_INVEST!$D$25) + APP_INVEST!$D$22</f>
        <v>66331.962932790833</v>
      </c>
      <c r="J63" s="44">
        <f>G63 * APP_INVEST!$D$22</f>
        <v>54900</v>
      </c>
      <c r="K63" s="44">
        <f>J63 / (1 + APP_INVEST!$D$24)^G63</f>
        <v>44976.556618420247</v>
      </c>
    </row>
    <row r="64" spans="7:11" x14ac:dyDescent="0.3">
      <c r="G64" s="45">
        <f t="shared" si="1"/>
        <v>62</v>
      </c>
      <c r="H64" s="44">
        <f>H63 * (1 + APP_INVEST!$D$23) + APP_INVEST!$D$22</f>
        <v>75334.76576546744</v>
      </c>
      <c r="I64" s="44">
        <f>I63 * (1 + APP_INVEST!$D$25) + APP_INVEST!$D$22</f>
        <v>67638.656688022282</v>
      </c>
      <c r="J64" s="44">
        <f>G64 * APP_INVEST!$D$22</f>
        <v>55800</v>
      </c>
      <c r="K64" s="44">
        <f>J64 / (1 + APP_INVEST!$D$24)^G64</f>
        <v>45564.710214229526</v>
      </c>
    </row>
    <row r="65" spans="7:11" x14ac:dyDescent="0.3">
      <c r="G65" s="45">
        <f t="shared" si="1"/>
        <v>63</v>
      </c>
      <c r="H65" s="44">
        <f>H64 * (1 + APP_INVEST!$D$23) + APP_INVEST!$D$22</f>
        <v>76944.79593280697</v>
      </c>
      <c r="I65" s="44">
        <f>I64 * (1 + APP_INVEST!$D$25) + APP_INVEST!$D$22</f>
        <v>68953.36202872108</v>
      </c>
      <c r="J65" s="44">
        <f>G65 * APP_INVEST!$D$22</f>
        <v>56700</v>
      </c>
      <c r="K65" s="44">
        <f>J65 / (1 + APP_INVEST!$D$24)^G65</f>
        <v>46148.546562332427</v>
      </c>
    </row>
    <row r="66" spans="7:11" x14ac:dyDescent="0.3">
      <c r="G66" s="45">
        <f t="shared" si="1"/>
        <v>64</v>
      </c>
      <c r="H66" s="44">
        <f>H65 * (1 + APP_INVEST!$D$23) + APP_INVEST!$D$22</f>
        <v>78570.000634473676</v>
      </c>
      <c r="I66" s="44">
        <f>I65 * (1 + APP_INVEST!$D$25) + APP_INVEST!$D$22</f>
        <v>70276.128075426328</v>
      </c>
      <c r="J66" s="44">
        <f>G66 * APP_INVEST!$D$22</f>
        <v>57600</v>
      </c>
      <c r="K66" s="44">
        <f>J66 / (1 + APP_INVEST!$D$24)^G66</f>
        <v>46728.087575191974</v>
      </c>
    </row>
    <row r="67" spans="7:11" x14ac:dyDescent="0.3">
      <c r="G67" s="45">
        <f t="shared" si="1"/>
        <v>65</v>
      </c>
      <c r="H67" s="44">
        <f>H66 * (1 + APP_INVEST!$D$23) + APP_INVEST!$D$22</f>
        <v>80210.522890453591</v>
      </c>
      <c r="I67" s="44">
        <f>I66 * (1 + APP_INVEST!$D$25) + APP_INVEST!$D$22</f>
        <v>71607.004249844395</v>
      </c>
      <c r="J67" s="44">
        <f>G67 * APP_INVEST!$D$22</f>
        <v>58500</v>
      </c>
      <c r="K67" s="44">
        <f>J67 / (1 + APP_INVEST!$D$24)^G67</f>
        <v>47303.355068235978</v>
      </c>
    </row>
    <row r="68" spans="7:11" x14ac:dyDescent="0.3">
      <c r="G68" s="45">
        <f t="shared" ref="G68:G131" si="2">G67+1</f>
        <v>66</v>
      </c>
      <c r="H68" s="44">
        <f>H67 * (1 + APP_INVEST!$D$23) + APP_INVEST!$D$22</f>
        <v>81866.507068696112</v>
      </c>
      <c r="I68" s="44">
        <f>I67 * (1 + APP_INVEST!$D$25) + APP_INVEST!$D$22</f>
        <v>72946.04027669545</v>
      </c>
      <c r="J68" s="44">
        <f>G68 * APP_INVEST!$D$22</f>
        <v>59400</v>
      </c>
      <c r="K68" s="44">
        <f>J68 / (1 + APP_INVEST!$D$24)^G68</f>
        <v>47874.370760257094</v>
      </c>
    </row>
    <row r="69" spans="7:11" x14ac:dyDescent="0.3">
      <c r="G69" s="45">
        <f t="shared" si="2"/>
        <v>67</v>
      </c>
      <c r="H69" s="44">
        <f>H68 * (1 + APP_INVEST!$D$23) + APP_INVEST!$D$22</f>
        <v>83538.098897818578</v>
      </c>
      <c r="I69" s="44">
        <f>I68 * (1 + APP_INVEST!$D$25) + APP_INVEST!$D$22</f>
        <v>74293.286185571284</v>
      </c>
      <c r="J69" s="44">
        <f>G69 * APP_INVEST!$D$22</f>
        <v>60300</v>
      </c>
      <c r="K69" s="44">
        <f>J69 / (1 + APP_INVEST!$D$24)^G69</f>
        <v>48441.156273811095</v>
      </c>
    </row>
    <row r="70" spans="7:11" x14ac:dyDescent="0.3">
      <c r="G70" s="45">
        <f t="shared" si="2"/>
        <v>68</v>
      </c>
      <c r="H70" s="44">
        <f>H69 * (1 + APP_INVEST!$D$23) + APP_INVEST!$D$22</f>
        <v>85225.445479930524</v>
      </c>
      <c r="I70" s="44">
        <f>I69 * (1 + APP_INVEST!$D$25) + APP_INVEST!$D$22</f>
        <v>75648.792312804537</v>
      </c>
      <c r="J70" s="44">
        <f>G70 * APP_INVEST!$D$22</f>
        <v>61200</v>
      </c>
      <c r="K70" s="44">
        <f>J70 / (1 + APP_INVEST!$D$24)^G70</f>
        <v>49003.733135613722</v>
      </c>
    </row>
    <row r="71" spans="7:11" x14ac:dyDescent="0.3">
      <c r="G71" s="45">
        <f t="shared" si="2"/>
        <v>69</v>
      </c>
      <c r="H71" s="44">
        <f>H70 * (1 + APP_INVEST!$D$23) + APP_INVEST!$D$22</f>
        <v>86928.695303578876</v>
      </c>
      <c r="I71" s="44">
        <f>I70 * (1 + APP_INVEST!$D$25) + APP_INVEST!$D$22</f>
        <v>77012.609303349382</v>
      </c>
      <c r="J71" s="44">
        <f>G71 * APP_INVEST!$D$22</f>
        <v>62100</v>
      </c>
      <c r="K71" s="44">
        <f>J71 / (1 + APP_INVEST!$D$24)^G71</f>
        <v>49562.122776935903</v>
      </c>
    </row>
    <row r="72" spans="7:11" x14ac:dyDescent="0.3">
      <c r="G72" s="45">
        <f t="shared" si="2"/>
        <v>70</v>
      </c>
      <c r="H72" s="44">
        <f>H71 * (1 + APP_INVEST!$D$23) + APP_INVEST!$D$22</f>
        <v>88647.998256815103</v>
      </c>
      <c r="I72" s="44">
        <f>I71 * (1 + APP_INVEST!$D$25) + APP_INVEST!$D$22</f>
        <v>78384.788112673734</v>
      </c>
      <c r="J72" s="44">
        <f>G72 * APP_INVEST!$D$22</f>
        <v>63000</v>
      </c>
      <c r="K72" s="44">
        <f>J72 / (1 + APP_INVEST!$D$24)^G72</f>
        <v>50116.346533997428</v>
      </c>
    </row>
    <row r="73" spans="7:11" x14ac:dyDescent="0.3">
      <c r="G73" s="45">
        <f t="shared" si="2"/>
        <v>71</v>
      </c>
      <c r="H73" s="44">
        <f>H72 * (1 + APP_INVEST!$D$23) + APP_INVEST!$D$22</f>
        <v>90383.505640385585</v>
      </c>
      <c r="I73" s="44">
        <f>I72 * (1 + APP_INVEST!$D$25) + APP_INVEST!$D$22</f>
        <v>79765.38000866308</v>
      </c>
      <c r="J73" s="44">
        <f>G73 * APP_INVEST!$D$22</f>
        <v>63900</v>
      </c>
      <c r="K73" s="44">
        <f>J73 / (1 + APP_INVEST!$D$24)^G73</f>
        <v>50666.425648359109</v>
      </c>
    </row>
    <row r="74" spans="7:11" x14ac:dyDescent="0.3">
      <c r="G74" s="45">
        <f t="shared" si="2"/>
        <v>72</v>
      </c>
      <c r="H74" s="44">
        <f>H73 * (1 + APP_INVEST!$D$23) + APP_INVEST!$D$22</f>
        <v>92135.370181046223</v>
      </c>
      <c r="I74" s="44">
        <f>I73 * (1 + APP_INVEST!$D$25) + APP_INVEST!$D$22</f>
        <v>81154.436573535975</v>
      </c>
      <c r="J74" s="44">
        <f>G74 * APP_INVEST!$D$22</f>
        <v>64800</v>
      </c>
      <c r="K74" s="44">
        <f>J74 / (1 + APP_INVEST!$D$24)^G74</f>
        <v>51212.3812673133</v>
      </c>
    </row>
    <row r="75" spans="7:11" x14ac:dyDescent="0.3">
      <c r="G75" s="45">
        <f t="shared" si="2"/>
        <v>73</v>
      </c>
      <c r="H75" s="44">
        <f>H74 * (1 + APP_INVEST!$D$23) + APP_INVEST!$D$22</f>
        <v>93903.746045002583</v>
      </c>
      <c r="I75" s="44">
        <f>I74 * (1 + APP_INVEST!$D$25) + APP_INVEST!$D$22</f>
        <v>82552.00970577127</v>
      </c>
      <c r="J75" s="44">
        <f>G75 * APP_INVEST!$D$22</f>
        <v>65700</v>
      </c>
      <c r="K75" s="44">
        <f>J75 / (1 + APP_INVEST!$D$24)^G75</f>
        <v>51754.234444272959</v>
      </c>
    </row>
    <row r="76" spans="7:11" x14ac:dyDescent="0.3">
      <c r="G76" s="45">
        <f t="shared" si="2"/>
        <v>74</v>
      </c>
      <c r="H76" s="44">
        <f>H75 * (1 + APP_INVEST!$D$23) + APP_INVEST!$D$22</f>
        <v>95688.78885147674</v>
      </c>
      <c r="I76" s="44">
        <f>I75 * (1 + APP_INVEST!$D$25) + APP_INVEST!$D$22</f>
        <v>83958.151622047153</v>
      </c>
      <c r="J76" s="44">
        <f>G76 * APP_INVEST!$D$22</f>
        <v>66600</v>
      </c>
      <c r="K76" s="44">
        <f>J76 / (1 + APP_INVEST!$D$24)^G76</f>
        <v>52292.006139159181</v>
      </c>
    </row>
    <row r="77" spans="7:11" x14ac:dyDescent="0.3">
      <c r="G77" s="45">
        <f t="shared" si="2"/>
        <v>75</v>
      </c>
      <c r="H77" s="44">
        <f>H76 * (1 + APP_INVEST!$D$23) + APP_INVEST!$D$22</f>
        <v>97490.655686401908</v>
      </c>
      <c r="I77" s="44">
        <f>I76 * (1 + APP_INVEST!$D$25) + APP_INVEST!$D$22</f>
        <v>85372.914859192097</v>
      </c>
      <c r="J77" s="44">
        <f>G77 * APP_INVEST!$D$22</f>
        <v>67500</v>
      </c>
      <c r="K77" s="44">
        <f>J77 / (1 + APP_INVEST!$D$24)^G77</f>
        <v>52825.717218787096</v>
      </c>
    </row>
    <row r="78" spans="7:11" x14ac:dyDescent="0.3">
      <c r="G78" s="45">
        <f t="shared" si="2"/>
        <v>76</v>
      </c>
      <c r="H78" s="44">
        <f>H77 * (1 + APP_INVEST!$D$23) + APP_INVEST!$D$22</f>
        <v>99309.505116246248</v>
      </c>
      <c r="I78" s="44">
        <f>I77 * (1 + APP_INVEST!$D$25) + APP_INVEST!$D$22</f>
        <v>86796.35227614778</v>
      </c>
      <c r="J78" s="44">
        <f>G78 * APP_INVEST!$D$22</f>
        <v>68400</v>
      </c>
      <c r="K78" s="44">
        <f>J78 / (1 + APP_INVEST!$D$24)^G78</f>
        <v>53355.388457250418</v>
      </c>
    </row>
    <row r="79" spans="7:11" x14ac:dyDescent="0.3">
      <c r="G79" s="45">
        <f t="shared" si="2"/>
        <v>77</v>
      </c>
      <c r="H79" s="44">
        <f>H78 * (1 + APP_INVEST!$D$23) + APP_INVEST!$D$22</f>
        <v>101145.49720196686</v>
      </c>
      <c r="I79" s="44">
        <f>I78 * (1 + APP_INVEST!$D$25) + APP_INVEST!$D$22</f>
        <v>88228.517055943987</v>
      </c>
      <c r="J79" s="44">
        <f>G79 * APP_INVEST!$D$22</f>
        <v>69300</v>
      </c>
      <c r="K79" s="44">
        <f>J79 / (1 + APP_INVEST!$D$24)^G79</f>
        <v>53881.040536304274</v>
      </c>
    </row>
    <row r="80" spans="7:11" x14ac:dyDescent="0.3">
      <c r="G80" s="45">
        <f t="shared" si="2"/>
        <v>78</v>
      </c>
      <c r="H80" s="44">
        <f>H79 * (1 + APP_INVEST!$D$23) + APP_INVEST!$D$22</f>
        <v>102998.7935130954</v>
      </c>
      <c r="I80" s="44">
        <f>I79 * (1 + APP_INVEST!$D$25) + APP_INVEST!$D$22</f>
        <v>89669.462707685685</v>
      </c>
      <c r="J80" s="44">
        <f>G80 * APP_INVEST!$D$22</f>
        <v>70200</v>
      </c>
      <c r="K80" s="44">
        <f>J80 / (1 + APP_INVEST!$D$24)^G80</f>
        <v>54402.694045746663</v>
      </c>
    </row>
    <row r="81" spans="7:11" x14ac:dyDescent="0.3">
      <c r="G81" s="45">
        <f t="shared" si="2"/>
        <v>79</v>
      </c>
      <c r="H81" s="44">
        <f>H80 * (1 + APP_INVEST!$D$23) + APP_INVEST!$D$22</f>
        <v>104869.55714195632</v>
      </c>
      <c r="I81" s="44">
        <f>I80 * (1 + APP_INVEST!$D$25) + APP_INVEST!$D$22</f>
        <v>91119.243068552227</v>
      </c>
      <c r="J81" s="44">
        <f>G81 * APP_INVEST!$D$22</f>
        <v>71100</v>
      </c>
      <c r="K81" s="44">
        <f>J81 / (1 + APP_INVEST!$D$24)^G81</f>
        <v>54920.369483798429</v>
      </c>
    </row>
    <row r="82" spans="7:11" x14ac:dyDescent="0.3">
      <c r="G82" s="45">
        <f t="shared" si="2"/>
        <v>80</v>
      </c>
      <c r="H82" s="44">
        <f>H81 * (1 + APP_INVEST!$D$23) + APP_INVEST!$D$22</f>
        <v>106757.95271801927</v>
      </c>
      <c r="I82" s="44">
        <f>I81 * (1 + APP_INVEST!$D$25) + APP_INVEST!$D$22</f>
        <v>92577.912305808859</v>
      </c>
      <c r="J82" s="44">
        <f>G82 * APP_INVEST!$D$22</f>
        <v>72000</v>
      </c>
      <c r="K82" s="44">
        <f>J82 / (1 + APP_INVEST!$D$24)^G82</f>
        <v>55434.087257481551</v>
      </c>
    </row>
    <row r="83" spans="7:11" x14ac:dyDescent="0.3">
      <c r="G83" s="45">
        <f t="shared" si="2"/>
        <v>81</v>
      </c>
      <c r="H83" s="44">
        <f>H82 * (1 + APP_INVEST!$D$23) + APP_INVEST!$D$22</f>
        <v>108664.14642238661</v>
      </c>
      <c r="I83" s="44">
        <f>I82 * (1 + APP_INVEST!$D$25) + APP_INVEST!$D$22</f>
        <v>94045.524918830532</v>
      </c>
      <c r="J83" s="44">
        <f>G83 * APP_INVEST!$D$22</f>
        <v>72900</v>
      </c>
      <c r="K83" s="44">
        <f>J83 / (1 + APP_INVEST!$D$24)^G83</f>
        <v>55943.867682996177</v>
      </c>
    </row>
    <row r="84" spans="7:11" x14ac:dyDescent="0.3">
      <c r="G84" s="45">
        <f t="shared" si="2"/>
        <v>82</v>
      </c>
      <c r="H84" s="44">
        <f>H83 * (1 + APP_INVEST!$D$23) + APP_INVEST!$D$22</f>
        <v>110588.30600241761</v>
      </c>
      <c r="I84" s="44">
        <f>I83 * (1 + APP_INVEST!$D$25) + APP_INVEST!$D$22</f>
        <v>95522.135741138118</v>
      </c>
      <c r="J84" s="44">
        <f>G84 * APP_INVEST!$D$22</f>
        <v>73800</v>
      </c>
      <c r="K84" s="44">
        <f>J84 / (1 + APP_INVEST!$D$24)^G84</f>
        <v>56449.730986095979</v>
      </c>
    </row>
    <row r="85" spans="7:11" x14ac:dyDescent="0.3">
      <c r="G85" s="45">
        <f t="shared" si="2"/>
        <v>83</v>
      </c>
      <c r="H85" s="44">
        <f>H84 * (1 + APP_INVEST!$D$23) + APP_INVEST!$D$22</f>
        <v>112530.60078649039</v>
      </c>
      <c r="I85" s="44">
        <f>I84 * (1 + APP_INVEST!$D$25) + APP_INVEST!$D$22</f>
        <v>97007.799942447135</v>
      </c>
      <c r="J85" s="44">
        <f>G85 * APP_INVEST!$D$22</f>
        <v>74700</v>
      </c>
      <c r="K85" s="44">
        <f>J85 / (1 + APP_INVEST!$D$24)^G85</f>
        <v>56951.697302462133</v>
      </c>
    </row>
    <row r="86" spans="7:11" x14ac:dyDescent="0.3">
      <c r="G86" s="45">
        <f t="shared" si="2"/>
        <v>84</v>
      </c>
      <c r="H86" s="44">
        <f>H85 * (1 + APP_INVEST!$D$23) + APP_INVEST!$D$22</f>
        <v>114491.20169890307</v>
      </c>
      <c r="I86" s="44">
        <f>I85 * (1 + APP_INVEST!$D$25) + APP_INVEST!$D$22</f>
        <v>98502.573030729021</v>
      </c>
      <c r="J86" s="44">
        <f>G86 * APP_INVEST!$D$22</f>
        <v>75600</v>
      </c>
      <c r="K86" s="44">
        <f>J86 / (1 + APP_INVEST!$D$24)^G86</f>
        <v>57449.786678075776</v>
      </c>
    </row>
    <row r="87" spans="7:11" x14ac:dyDescent="0.3">
      <c r="G87" s="45">
        <f t="shared" si="2"/>
        <v>85</v>
      </c>
      <c r="H87" s="44">
        <f>H86 * (1 + APP_INVEST!$D$23) + APP_INVEST!$D$22</f>
        <v>116470.28127491524</v>
      </c>
      <c r="I87" s="44">
        <f>I86 * (1 + APP_INVEST!$D$25) + APP_INVEST!$D$22</f>
        <v>100006.51085428504</v>
      </c>
      <c r="J87" s="44">
        <f>G87 * APP_INVEST!$D$22</f>
        <v>76500</v>
      </c>
      <c r="K87" s="44">
        <f>J87 / (1 + APP_INVEST!$D$24)^G87</f>
        <v>57944.019069589034</v>
      </c>
    </row>
    <row r="88" spans="7:11" x14ac:dyDescent="0.3">
      <c r="G88" s="45">
        <f t="shared" si="2"/>
        <v>86</v>
      </c>
      <c r="H88" s="44">
        <f>H87 * (1 + APP_INVEST!$D$23) + APP_INVEST!$D$22</f>
        <v>118468.01367593132</v>
      </c>
      <c r="I88" s="44">
        <f>I87 * (1 + APP_INVEST!$D$25) + APP_INVEST!$D$22</f>
        <v>101519.66960383288</v>
      </c>
      <c r="J88" s="44">
        <f>G88 * APP_INVEST!$D$22</f>
        <v>77400</v>
      </c>
      <c r="K88" s="44">
        <f>J88 / (1 + APP_INVEST!$D$24)^G88</f>
        <v>58434.41434469448</v>
      </c>
    </row>
    <row r="89" spans="7:11" x14ac:dyDescent="0.3">
      <c r="G89" s="45">
        <f t="shared" si="2"/>
        <v>87</v>
      </c>
      <c r="H89" s="44">
        <f>H88 * (1 + APP_INVEST!$D$23) + APP_INVEST!$D$22</f>
        <v>120484.57470482697</v>
      </c>
      <c r="I89" s="44">
        <f>I88 * (1 + APP_INVEST!$D$25) + APP_INVEST!$D$22</f>
        <v>103042.10581460616</v>
      </c>
      <c r="J89" s="44">
        <f>G89 * APP_INVEST!$D$22</f>
        <v>78300</v>
      </c>
      <c r="K89" s="44">
        <f>J89 / (1 + APP_INVEST!$D$24)^G89</f>
        <v>58920.992282493266</v>
      </c>
    </row>
    <row r="90" spans="7:11" x14ac:dyDescent="0.3">
      <c r="G90" s="45">
        <f t="shared" si="2"/>
        <v>88</v>
      </c>
      <c r="H90" s="44">
        <f>H89 * (1 + APP_INVEST!$D$23) + APP_INVEST!$D$22</f>
        <v>122520.14182141997</v>
      </c>
      <c r="I90" s="44">
        <f>I89 * (1 + APP_INVEST!$D$25) + APP_INVEST!$D$22</f>
        <v>104573.87636846659</v>
      </c>
      <c r="J90" s="44">
        <f>G90 * APP_INVEST!$D$22</f>
        <v>79200</v>
      </c>
      <c r="K90" s="44">
        <f>J90 / (1 + APP_INVEST!$D$24)^G90</f>
        <v>59403.772573861774</v>
      </c>
    </row>
    <row r="91" spans="7:11" x14ac:dyDescent="0.3">
      <c r="G91" s="45">
        <f t="shared" si="2"/>
        <v>89</v>
      </c>
      <c r="H91" s="44">
        <f>H90 * (1 + APP_INVEST!$D$23) + APP_INVEST!$D$22</f>
        <v>124574.89415808686</v>
      </c>
      <c r="I91" s="44">
        <f>I90 * (1 + APP_INVEST!$D$25) + APP_INVEST!$D$22</f>
        <v>106115.03849602934</v>
      </c>
      <c r="J91" s="44">
        <f>G91 * APP_INVEST!$D$22</f>
        <v>80100</v>
      </c>
      <c r="K91" s="44">
        <f>J91 / (1 + APP_INVEST!$D$24)^G91</f>
        <v>59882.774821816653</v>
      </c>
    </row>
    <row r="92" spans="7:11" x14ac:dyDescent="0.3">
      <c r="G92" s="45">
        <f t="shared" si="2"/>
        <v>90</v>
      </c>
      <c r="H92" s="44">
        <f>H91 * (1 + APP_INVEST!$D$23) + APP_INVEST!$D$22</f>
        <v>126649.01253552682</v>
      </c>
      <c r="I92" s="44">
        <f>I91 * (1 + APP_INVEST!$D$25) + APP_INVEST!$D$22</f>
        <v>107665.64977880123</v>
      </c>
      <c r="J92" s="44">
        <f>G92 * APP_INVEST!$D$22</f>
        <v>81000</v>
      </c>
      <c r="K92" s="44">
        <f>J92 / (1 + APP_INVEST!$D$24)^G92</f>
        <v>60358.018541878671</v>
      </c>
    </row>
    <row r="93" spans="7:11" x14ac:dyDescent="0.3">
      <c r="G93" s="45">
        <f t="shared" si="2"/>
        <v>91</v>
      </c>
      <c r="H93" s="44">
        <f>H92 * (1 + APP_INVEST!$D$23) + APP_INVEST!$D$22</f>
        <v>128742.67947867417</v>
      </c>
      <c r="I93" s="44">
        <f>I92 * (1 + APP_INVEST!$D$25) + APP_INVEST!$D$22</f>
        <v>109225.76815133216</v>
      </c>
      <c r="J93" s="44">
        <f>G93 * APP_INVEST!$D$22</f>
        <v>81900</v>
      </c>
      <c r="K93" s="44">
        <f>J93 / (1 + APP_INVEST!$D$24)^G93</f>
        <v>60829.523162434933</v>
      </c>
    </row>
    <row r="94" spans="7:11" x14ac:dyDescent="0.3">
      <c r="G94" s="45">
        <f t="shared" si="2"/>
        <v>92</v>
      </c>
      <c r="H94" s="44">
        <f>H93 * (1 + APP_INVEST!$D$23) + APP_INVEST!$D$22</f>
        <v>130856.07923276068</v>
      </c>
      <c r="I94" s="44">
        <f>I93 * (1 + APP_INVEST!$D$25) + APP_INVEST!$D$22</f>
        <v>110795.45190337964</v>
      </c>
      <c r="J94" s="44">
        <f>G94 * APP_INVEST!$D$22</f>
        <v>82800</v>
      </c>
      <c r="K94" s="44">
        <f>J94 / (1 + APP_INVEST!$D$24)^G94</f>
        <v>61297.308025099774</v>
      </c>
    </row>
    <row r="95" spans="7:11" x14ac:dyDescent="0.3">
      <c r="G95" s="45">
        <f t="shared" si="2"/>
        <v>93</v>
      </c>
      <c r="H95" s="44">
        <f>H94 * (1 + APP_INVEST!$D$23) + APP_INVEST!$D$22</f>
        <v>132989.39777952945</v>
      </c>
      <c r="I95" s="44">
        <f>I94 * (1 + APP_INVEST!$D$25) + APP_INVEST!$D$22</f>
        <v>112374.75968208667</v>
      </c>
      <c r="J95" s="44">
        <f>G95 * APP_INVEST!$D$22</f>
        <v>83700</v>
      </c>
      <c r="K95" s="44">
        <f>J95 / (1 + APP_INVEST!$D$24)^G95</f>
        <v>61761.39238507409</v>
      </c>
    </row>
    <row r="96" spans="7:11" x14ac:dyDescent="0.3">
      <c r="G96" s="45">
        <f t="shared" si="2"/>
        <v>94</v>
      </c>
      <c r="H96" s="44">
        <f>H95 * (1 + APP_INVEST!$D$23) + APP_INVEST!$D$22</f>
        <v>135142.82285360151</v>
      </c>
      <c r="I96" s="44">
        <f>I95 * (1 + APP_INVEST!$D$25) + APP_INVEST!$D$22</f>
        <v>113963.75049417294</v>
      </c>
      <c r="J96" s="44">
        <f>G96 * APP_INVEST!$D$22</f>
        <v>84600</v>
      </c>
      <c r="K96" s="44">
        <f>J96 / (1 + APP_INVEST!$D$24)^G96</f>
        <v>62221.795411503503</v>
      </c>
    </row>
    <row r="97" spans="7:11" x14ac:dyDescent="0.3">
      <c r="G97" s="45">
        <f t="shared" si="2"/>
        <v>95</v>
      </c>
      <c r="H97" s="44">
        <f>H96 * (1 + APP_INVEST!$D$23) + APP_INVEST!$D$22</f>
        <v>137316.54395899671</v>
      </c>
      <c r="I97" s="44">
        <f>I96 * (1 + APP_INVEST!$D$25) + APP_INVEST!$D$22</f>
        <v>115562.48370813944</v>
      </c>
      <c r="J97" s="44">
        <f>G97 * APP_INVEST!$D$22</f>
        <v>85500</v>
      </c>
      <c r="K97" s="44">
        <f>J97 / (1 + APP_INVEST!$D$24)^G97</f>
        <v>62678.536187834783</v>
      </c>
    </row>
    <row r="98" spans="7:11" x14ac:dyDescent="0.3">
      <c r="G98" s="45">
        <f t="shared" si="2"/>
        <v>96</v>
      </c>
      <c r="H98" s="44">
        <f>H97 * (1 + APP_INVEST!$D$23) + APP_INVEST!$D$22</f>
        <v>139510.75238581025</v>
      </c>
      <c r="I98" s="44">
        <f>I97 * (1 + APP_INVEST!$D$25) + APP_INVEST!$D$22</f>
        <v>117171.01905648662</v>
      </c>
      <c r="J98" s="44">
        <f>G98 * APP_INVEST!$D$22</f>
        <v>86400</v>
      </c>
      <c r="K98" s="44">
        <f>J98 / (1 + APP_INVEST!$D$24)^G98</f>
        <v>63131.633712171155</v>
      </c>
    </row>
    <row r="99" spans="7:11" x14ac:dyDescent="0.3">
      <c r="G99" s="45">
        <f t="shared" si="2"/>
        <v>97</v>
      </c>
      <c r="H99" s="44">
        <f>H98 * (1 + APP_INVEST!$D$23) + APP_INVEST!$D$22</f>
        <v>141725.64122704652</v>
      </c>
      <c r="I99" s="44">
        <f>I98 * (1 + APP_INVEST!$D$25) + APP_INVEST!$D$22</f>
        <v>118789.41663794614</v>
      </c>
      <c r="J99" s="44">
        <f>G99 * APP_INVEST!$D$22</f>
        <v>87300</v>
      </c>
      <c r="K99" s="44">
        <f>J99 / (1 + APP_INVEST!$D$24)^G99</f>
        <v>63581.106897625941</v>
      </c>
    </row>
    <row r="100" spans="7:11" x14ac:dyDescent="0.3">
      <c r="G100" s="45">
        <f t="shared" si="2"/>
        <v>98</v>
      </c>
      <c r="H100" s="44">
        <f>H99 * (1 + APP_INVEST!$D$23) + APP_INVEST!$D$22</f>
        <v>143961.40539561145</v>
      </c>
      <c r="I100" s="44">
        <f>I99 * (1 + APP_INVEST!$D$25) + APP_INVEST!$D$22</f>
        <v>120417.73691972627</v>
      </c>
      <c r="J100" s="44">
        <f>G100 * APP_INVEST!$D$22</f>
        <v>88200</v>
      </c>
      <c r="K100" s="44">
        <f>J100 / (1 + APP_INVEST!$D$24)^G100</f>
        <v>64026.974572675041</v>
      </c>
    </row>
    <row r="101" spans="7:11" x14ac:dyDescent="0.3">
      <c r="G101" s="45">
        <f t="shared" si="2"/>
        <v>99</v>
      </c>
      <c r="H101" s="44">
        <f>H100 * (1 + APP_INVEST!$D$23) + APP_INVEST!$D$22</f>
        <v>146218.24164146508</v>
      </c>
      <c r="I101" s="44">
        <f>I100 * (1 + APP_INVEST!$D$25) + APP_INVEST!$D$22</f>
        <v>122056.04073977118</v>
      </c>
      <c r="J101" s="44">
        <f>G101 * APP_INVEST!$D$22</f>
        <v>89100</v>
      </c>
      <c r="K101" s="44">
        <f>J101 / (1 + APP_INVEST!$D$24)^G101</f>
        <v>64469.255481507855</v>
      </c>
    </row>
    <row r="102" spans="7:11" x14ac:dyDescent="0.3">
      <c r="G102" s="45">
        <f t="shared" si="2"/>
        <v>100</v>
      </c>
      <c r="H102" s="44">
        <f>H101 * (1 + APP_INVEST!$D$23) + APP_INVEST!$D$22</f>
        <v>148496.34856893588</v>
      </c>
      <c r="I102" s="44">
        <f>I101 * (1 + APP_INVEST!$D$25) + APP_INVEST!$D$22</f>
        <v>123704.3893090339</v>
      </c>
      <c r="J102" s="44">
        <f>G102 * APP_INVEST!$D$22</f>
        <v>90000</v>
      </c>
      <c r="K102" s="44">
        <f>J102 / (1 + APP_INVEST!$D$24)^G102</f>
        <v>64907.968284376897</v>
      </c>
    </row>
    <row r="103" spans="7:11" x14ac:dyDescent="0.3">
      <c r="G103" s="45">
        <f t="shared" si="2"/>
        <v>101</v>
      </c>
      <c r="H103" s="44">
        <f>H102 * (1 + APP_INVEST!$D$23) + APP_INVEST!$D$22</f>
        <v>150795.92665419809</v>
      </c>
      <c r="I103" s="44">
        <f>I102 * (1 + APP_INVEST!$D$25) + APP_INVEST!$D$22</f>
        <v>125362.84421376331</v>
      </c>
      <c r="J103" s="44">
        <f>G103 * APP_INVEST!$D$22</f>
        <v>90900</v>
      </c>
      <c r="K103" s="44">
        <f>J103 / (1 + APP_INVEST!$D$24)^G103</f>
        <v>65343.13155794597</v>
      </c>
    </row>
    <row r="104" spans="7:11" x14ac:dyDescent="0.3">
      <c r="G104" s="45">
        <f t="shared" si="2"/>
        <v>102</v>
      </c>
      <c r="H104" s="44">
        <f>H103 * (1 + APP_INVEST!$D$23) + APP_INVEST!$D$22</f>
        <v>153117.17826291392</v>
      </c>
      <c r="I104" s="44">
        <f>I103 * (1 + APP_INVEST!$D$25) + APP_INVEST!$D$22</f>
        <v>127031.46741780522</v>
      </c>
      <c r="J104" s="44">
        <f>G104 * APP_INVEST!$D$22</f>
        <v>91800</v>
      </c>
      <c r="K104" s="44">
        <f>J104 / (1 + APP_INVEST!$D$24)^G104</f>
        <v>65774.763795636973</v>
      </c>
    </row>
    <row r="105" spans="7:11" x14ac:dyDescent="0.3">
      <c r="G105" s="45">
        <f t="shared" si="2"/>
        <v>103</v>
      </c>
      <c r="H105" s="44">
        <f>H104 * (1 + APP_INVEST!$D$23) + APP_INVEST!$D$22</f>
        <v>155460.30766804187</v>
      </c>
      <c r="I105" s="44">
        <f>I104 * (1 + APP_INVEST!$D$25) + APP_INVEST!$D$22</f>
        <v>128710.32126491744</v>
      </c>
      <c r="J105" s="44">
        <f>G105 * APP_INVEST!$D$22</f>
        <v>92700</v>
      </c>
      <c r="K105" s="44">
        <f>J105 / (1 + APP_INVEST!$D$24)^G105</f>
        <v>66202.883407975416</v>
      </c>
    </row>
    <row r="106" spans="7:11" x14ac:dyDescent="0.3">
      <c r="G106" s="45">
        <f t="shared" si="2"/>
        <v>104</v>
      </c>
      <c r="H106" s="44">
        <f>H105 * (1 + APP_INVEST!$D$23) + APP_INVEST!$D$22</f>
        <v>157825.52106781318</v>
      </c>
      <c r="I106" s="44">
        <f>I105 * (1 + APP_INVEST!$D$25) + APP_INVEST!$D$22</f>
        <v>130399.46848109909</v>
      </c>
      <c r="J106" s="44">
        <f>G106 * APP_INVEST!$D$22</f>
        <v>93600</v>
      </c>
      <c r="K106" s="44">
        <f>J106 / (1 + APP_INVEST!$D$24)^G106</f>
        <v>66627.508722934479</v>
      </c>
    </row>
    <row r="107" spans="7:11" x14ac:dyDescent="0.3">
      <c r="G107" s="45">
        <f t="shared" si="2"/>
        <v>105</v>
      </c>
      <c r="H107" s="44">
        <f>H106 * (1 + APP_INVEST!$D$23) + APP_INVEST!$D$22</f>
        <v>160213.02660387734</v>
      </c>
      <c r="I107" s="44">
        <f>I106 * (1 + APP_INVEST!$D$25) + APP_INVEST!$D$22</f>
        <v>132098.97217693418</v>
      </c>
      <c r="J107" s="44">
        <f>G107 * APP_INVEST!$D$22</f>
        <v>94500</v>
      </c>
      <c r="K107" s="44">
        <f>J107 / (1 + APP_INVEST!$D$24)^G107</f>
        <v>67048.657986277671</v>
      </c>
    </row>
    <row r="108" spans="7:11" x14ac:dyDescent="0.3">
      <c r="G108" s="45">
        <f t="shared" si="2"/>
        <v>106</v>
      </c>
      <c r="H108" s="44">
        <f>H107 * (1 + APP_INVEST!$D$23) + APP_INVEST!$D$22</f>
        <v>162623.03437961888</v>
      </c>
      <c r="I108" s="44">
        <f>I107 * (1 + APP_INVEST!$D$25) + APP_INVEST!$D$22</f>
        <v>133808.89584994968</v>
      </c>
      <c r="J108" s="44">
        <f>G108 * APP_INVEST!$D$22</f>
        <v>95400</v>
      </c>
      <c r="K108" s="44">
        <f>J108 / (1 + APP_INVEST!$D$24)^G108</f>
        <v>67466.349361900255</v>
      </c>
    </row>
    <row r="109" spans="7:11" x14ac:dyDescent="0.3">
      <c r="G109" s="45">
        <f t="shared" si="2"/>
        <v>107</v>
      </c>
      <c r="H109" s="44">
        <f>H108 * (1 + APP_INVEST!$D$23) + APP_INVEST!$D$22</f>
        <v>165055.7564786468</v>
      </c>
      <c r="I109" s="44">
        <f>I108 * (1 + APP_INVEST!$D$25) + APP_INVEST!$D$22</f>
        <v>135529.30338698774</v>
      </c>
      <c r="J109" s="44">
        <f>G109 * APP_INVEST!$D$22</f>
        <v>96300</v>
      </c>
      <c r="K109" s="44">
        <f>J109 / (1 + APP_INVEST!$D$24)^G109</f>
        <v>67880.600932169211</v>
      </c>
    </row>
    <row r="110" spans="7:11" x14ac:dyDescent="0.3">
      <c r="G110" s="45">
        <f t="shared" si="2"/>
        <v>108</v>
      </c>
      <c r="H110" s="44">
        <f>H109 * (1 + APP_INVEST!$D$23) + APP_INVEST!$D$22</f>
        <v>167511.40698345806</v>
      </c>
      <c r="I110" s="44">
        <f>I109 * (1 + APP_INVEST!$D$25) + APP_INVEST!$D$22</f>
        <v>137260.25906659284</v>
      </c>
      <c r="J110" s="44">
        <f>G110 * APP_INVEST!$D$22</f>
        <v>97200</v>
      </c>
      <c r="K110" s="44">
        <f>J110 / (1 + APP_INVEST!$D$24)^G110</f>
        <v>68291.430698262018</v>
      </c>
    </row>
    <row r="111" spans="7:11" x14ac:dyDescent="0.3">
      <c r="G111" s="45">
        <f t="shared" si="2"/>
        <v>109</v>
      </c>
      <c r="H111" s="44">
        <f>H110 * (1 + APP_INVEST!$D$23) + APP_INVEST!$D$22</f>
        <v>169990.20199427716</v>
      </c>
      <c r="I111" s="44">
        <f>I110 * (1 + APP_INVEST!$D$25) + APP_INVEST!$D$22</f>
        <v>139001.82756141329</v>
      </c>
      <c r="J111" s="44">
        <f>G111 * APP_INVEST!$D$22</f>
        <v>98100</v>
      </c>
      <c r="K111" s="44">
        <f>J111 / (1 + APP_INVEST!$D$24)^G111</f>
        <v>68698.856580503809</v>
      </c>
    </row>
    <row r="112" spans="7:11" x14ac:dyDescent="0.3">
      <c r="G112" s="45">
        <f t="shared" si="2"/>
        <v>110</v>
      </c>
      <c r="H112" s="44">
        <f>H111 * (1 + APP_INVEST!$D$23) + APP_INVEST!$D$22</f>
        <v>172492.35964807324</v>
      </c>
      <c r="I112" s="44">
        <f>I111 * (1 + APP_INVEST!$D$25) + APP_INVEST!$D$22</f>
        <v>140754.07394061761</v>
      </c>
      <c r="J112" s="44">
        <f>G112 * APP_INVEST!$D$22</f>
        <v>99000</v>
      </c>
      <c r="K112" s="44">
        <f>J112 / (1 + APP_INVEST!$D$24)^G112</f>
        <v>69102.896418703385</v>
      </c>
    </row>
    <row r="113" spans="7:11" x14ac:dyDescent="0.3">
      <c r="G113" s="45">
        <f t="shared" si="2"/>
        <v>111</v>
      </c>
      <c r="H113" s="44">
        <f>H112 * (1 + APP_INVEST!$D$23) + APP_INVEST!$D$22</f>
        <v>175018.10013775632</v>
      </c>
      <c r="I113" s="44">
        <f>I112 * (1 + APP_INVEST!$D$25) + APP_INVEST!$D$22</f>
        <v>142517.06367232563</v>
      </c>
      <c r="J113" s="44">
        <f>G113 * APP_INVEST!$D$22</f>
        <v>99900</v>
      </c>
      <c r="K113" s="44">
        <f>J113 / (1 + APP_INVEST!$D$24)^G113</f>
        <v>69503.567972488032</v>
      </c>
    </row>
    <row r="114" spans="7:11" x14ac:dyDescent="0.3">
      <c r="G114" s="45">
        <f t="shared" si="2"/>
        <v>112</v>
      </c>
      <c r="H114" s="44">
        <f>H113 * (1 + APP_INVEST!$D$23) + APP_INVEST!$D$22</f>
        <v>177567.64573155469</v>
      </c>
      <c r="I114" s="44">
        <f>I113 * (1 + APP_INVEST!$D$25) + APP_INVEST!$D$22</f>
        <v>144290.86262605456</v>
      </c>
      <c r="J114" s="44">
        <f>G114 * APP_INVEST!$D$22</f>
        <v>100800</v>
      </c>
      <c r="K114" s="44">
        <f>J114 / (1 + APP_INVEST!$D$24)^G114</f>
        <v>69900.888921636622</v>
      </c>
    </row>
    <row r="115" spans="7:11" x14ac:dyDescent="0.3">
      <c r="G115" s="45">
        <f t="shared" si="2"/>
        <v>113</v>
      </c>
      <c r="H115" s="44">
        <f>H114 * (1 + APP_INVEST!$D$23) + APP_INVEST!$D$22</f>
        <v>180141.2207925746</v>
      </c>
      <c r="I115" s="44">
        <f>I114 * (1 + APP_INVEST!$D$25) + APP_INVEST!$D$22</f>
        <v>146075.53707518001</v>
      </c>
      <c r="J115" s="44">
        <f>G115 * APP_INVEST!$D$22</f>
        <v>101700</v>
      </c>
      <c r="K115" s="44">
        <f>J115 / (1 + APP_INVEST!$D$24)^G115</f>
        <v>70294.876866411738</v>
      </c>
    </row>
    <row r="116" spans="7:11" x14ac:dyDescent="0.3">
      <c r="G116" s="45">
        <f t="shared" si="2"/>
        <v>114</v>
      </c>
      <c r="H116" s="44">
        <f>H115 * (1 + APP_INVEST!$D$23) + APP_INVEST!$D$22</f>
        <v>182739.05179854462</v>
      </c>
      <c r="I116" s="44">
        <f>I115 * (1 + APP_INVEST!$D$25) + APP_INVEST!$D$22</f>
        <v>147871.15369941213</v>
      </c>
      <c r="J116" s="44">
        <f>G116 * APP_INVEST!$D$22</f>
        <v>102600</v>
      </c>
      <c r="K116" s="44">
        <f>J116 / (1 + APP_INVEST!$D$24)^G116</f>
        <v>70685.549327890374</v>
      </c>
    </row>
    <row r="117" spans="7:11" x14ac:dyDescent="0.3">
      <c r="G117" s="45">
        <f t="shared" si="2"/>
        <v>115</v>
      </c>
      <c r="H117" s="44">
        <f>H116 * (1 + APP_INVEST!$D$23) + APP_INVEST!$D$22</f>
        <v>185361.36736174591</v>
      </c>
      <c r="I117" s="44">
        <f>I116 * (1 + APP_INVEST!$D$25) + APP_INVEST!$D$22</f>
        <v>149677.77958728696</v>
      </c>
      <c r="J117" s="44">
        <f>G117 * APP_INVEST!$D$22</f>
        <v>103500</v>
      </c>
      <c r="K117" s="44">
        <f>J117 / (1 + APP_INVEST!$D$24)^G117</f>
        <v>71072.923748293237</v>
      </c>
    </row>
    <row r="118" spans="7:11" x14ac:dyDescent="0.3">
      <c r="G118" s="45">
        <f t="shared" si="2"/>
        <v>116</v>
      </c>
      <c r="H118" s="44">
        <f>H117 * (1 + APP_INVEST!$D$23) + APP_INVEST!$D$22</f>
        <v>188008.39824913038</v>
      </c>
      <c r="I118" s="44">
        <f>I117 * (1 + APP_INVEST!$D$25) + APP_INVEST!$D$22</f>
        <v>151495.48223867296</v>
      </c>
      <c r="J118" s="44">
        <f>G118 * APP_INVEST!$D$22</f>
        <v>104400</v>
      </c>
      <c r="K118" s="44">
        <f>J118 / (1 + APP_INVEST!$D$24)^G118</f>
        <v>71457.017491312843</v>
      </c>
    </row>
    <row r="119" spans="7:11" x14ac:dyDescent="0.3">
      <c r="G119" s="45">
        <f t="shared" si="2"/>
        <v>117</v>
      </c>
      <c r="H119" s="44">
        <f>H118 * (1 + APP_INVEST!$D$23) + APP_INVEST!$D$22</f>
        <v>190680.37740262842</v>
      </c>
      <c r="I119" s="44">
        <f>I118 * (1 + APP_INVEST!$D$25) + APP_INVEST!$D$22</f>
        <v>153324.329567293</v>
      </c>
      <c r="J119" s="44">
        <f>G119 * APP_INVEST!$D$22</f>
        <v>105300</v>
      </c>
      <c r="K119" s="44">
        <f>J119 / (1 + APP_INVEST!$D$24)^G119</f>
        <v>71837.847842440329</v>
      </c>
    </row>
    <row r="120" spans="7:11" x14ac:dyDescent="0.3">
      <c r="G120" s="45">
        <f t="shared" si="2"/>
        <v>118</v>
      </c>
      <c r="H120" s="44">
        <f>H119 * (1 + APP_INVEST!$D$23) + APP_INVEST!$D$22</f>
        <v>193377.53995964819</v>
      </c>
      <c r="I120" s="44">
        <f>I119 * (1 + APP_INVEST!$D$25) + APP_INVEST!$D$22</f>
        <v>155164.38990326176</v>
      </c>
      <c r="J120" s="44">
        <f>G120 * APP_INVEST!$D$22</f>
        <v>106200</v>
      </c>
      <c r="K120" s="44">
        <f>J120 / (1 + APP_INVEST!$D$24)^G120</f>
        <v>72215.43200929086</v>
      </c>
    </row>
    <row r="121" spans="7:11" x14ac:dyDescent="0.3">
      <c r="G121" s="45">
        <f t="shared" si="2"/>
        <v>119</v>
      </c>
      <c r="H121" s="44">
        <f>H120 * (1 + APP_INVEST!$D$23) + APP_INVEST!$D$22</f>
        <v>196100.12327376788</v>
      </c>
      <c r="I121" s="44">
        <f>I120 * (1 + APP_INVEST!$D$25) + APP_INVEST!$D$22</f>
        <v>157015.73199563878</v>
      </c>
      <c r="J121" s="44">
        <f>G121 * APP_INVEST!$D$22</f>
        <v>107100</v>
      </c>
      <c r="K121" s="44">
        <f>J121 / (1 + APP_INVEST!$D$24)^G121</f>
        <v>72589.78712192786</v>
      </c>
    </row>
    <row r="122" spans="7:11" x14ac:dyDescent="0.3">
      <c r="G122" s="45">
        <f t="shared" si="2"/>
        <v>120</v>
      </c>
      <c r="H122" s="44">
        <f>H121 * (1 + APP_INVEST!$D$23) + APP_INVEST!$D$22</f>
        <v>198848.36693562314</v>
      </c>
      <c r="I122" s="44">
        <f>I121 * (1 + APP_INVEST!$D$25) + APP_INVEST!$D$22</f>
        <v>158878.42501499693</v>
      </c>
      <c r="J122" s="44">
        <f>G122 * APP_INVEST!$D$22</f>
        <v>108000</v>
      </c>
      <c r="K122" s="44">
        <f>J122 / (1 + APP_INVEST!$D$24)^G122</f>
        <v>72960.930233185878</v>
      </c>
    </row>
    <row r="123" spans="7:11" x14ac:dyDescent="0.3">
      <c r="G123" s="45">
        <f t="shared" si="2"/>
        <v>121</v>
      </c>
      <c r="H123" s="44">
        <f>H122 * (1 + APP_INVEST!$D$23) + APP_INVEST!$D$22</f>
        <v>201622.51279399139</v>
      </c>
      <c r="I123" s="44">
        <f>I122 * (1 + APP_INVEST!$D$25) + APP_INVEST!$D$22</f>
        <v>160752.53855600697</v>
      </c>
      <c r="J123" s="44">
        <f>G123 * APP_INVEST!$D$22</f>
        <v>108900</v>
      </c>
      <c r="K123" s="44">
        <f>J123 / (1 + APP_INVEST!$D$24)^G123</f>
        <v>73328.878318992196</v>
      </c>
    </row>
    <row r="124" spans="7:11" x14ac:dyDescent="0.3">
      <c r="G124" s="45">
        <f t="shared" si="2"/>
        <v>122</v>
      </c>
      <c r="H124" s="44">
        <f>H123 * (1 + APP_INVEST!$D$23) + APP_INVEST!$D$22</f>
        <v>204422.80497707476</v>
      </c>
      <c r="I124" s="44">
        <f>I123 * (1 + APP_INVEST!$D$25) + APP_INVEST!$D$22</f>
        <v>162638.14264003767</v>
      </c>
      <c r="J124" s="44">
        <f>G124 * APP_INVEST!$D$22</f>
        <v>109800</v>
      </c>
      <c r="K124" s="44">
        <f>J124 / (1 + APP_INVEST!$D$24)^G124</f>
        <v>73693.648278687149</v>
      </c>
    </row>
    <row r="125" spans="7:11" x14ac:dyDescent="0.3">
      <c r="G125" s="45">
        <f t="shared" si="2"/>
        <v>123</v>
      </c>
      <c r="H125" s="44">
        <f>H124 * (1 + APP_INVEST!$D$23) + APP_INVEST!$D$22</f>
        <v>207249.48991398371</v>
      </c>
      <c r="I125" s="44">
        <f>I124 * (1 + APP_INVEST!$D$25) + APP_INVEST!$D$22</f>
        <v>164535.30771777197</v>
      </c>
      <c r="J125" s="44">
        <f>G125 * APP_INVEST!$D$22</f>
        <v>110700</v>
      </c>
      <c r="K125" s="44">
        <f>J125 / (1 + APP_INVEST!$D$24)^G125</f>
        <v>74055.256935343234</v>
      </c>
    </row>
    <row r="126" spans="7:11" x14ac:dyDescent="0.3">
      <c r="G126" s="45">
        <f t="shared" si="2"/>
        <v>124</v>
      </c>
      <c r="H126" s="44">
        <f>H125 * (1 + APP_INVEST!$D$23) + APP_INVEST!$D$22</f>
        <v>210102.81635642302</v>
      </c>
      <c r="I126" s="44">
        <f>I125 * (1 + APP_INVEST!$D$25) + APP_INVEST!$D$22</f>
        <v>166444.10467183925</v>
      </c>
      <c r="J126" s="44">
        <f>G126 * APP_INVEST!$D$22</f>
        <v>111600</v>
      </c>
      <c r="K126" s="44">
        <f>J126 / (1 + APP_INVEST!$D$24)^G126</f>
        <v>74413.721036082919</v>
      </c>
    </row>
    <row r="127" spans="7:11" x14ac:dyDescent="0.3">
      <c r="G127" s="45">
        <f t="shared" si="2"/>
        <v>125</v>
      </c>
      <c r="H127" s="44">
        <f>H126 * (1 + APP_INVEST!$D$23) + APP_INVEST!$D$22</f>
        <v>212983.0354005823</v>
      </c>
      <c r="I127" s="44">
        <f>I126 * (1 + APP_INVEST!$D$25) + APP_INVEST!$D$22</f>
        <v>168364.60481946362</v>
      </c>
      <c r="J127" s="44">
        <f>G127 * APP_INVEST!$D$22</f>
        <v>112500</v>
      </c>
      <c r="K127" s="44">
        <f>J127 / (1 + APP_INVEST!$D$24)^G127</f>
        <v>74769.057252395025</v>
      </c>
    </row>
    <row r="128" spans="7:11" x14ac:dyDescent="0.3">
      <c r="G128" s="45">
        <f t="shared" si="2"/>
        <v>126</v>
      </c>
      <c r="H128" s="44">
        <f>H127 * (1 + APP_INVEST!$D$23) + APP_INVEST!$D$22</f>
        <v>215890.4005092328</v>
      </c>
      <c r="I128" s="44">
        <f>I127 * (1 + APP_INVEST!$D$25) + APP_INVEST!$D$22</f>
        <v>170296.87991512852</v>
      </c>
      <c r="J128" s="44">
        <f>G128 * APP_INVEST!$D$22</f>
        <v>113400</v>
      </c>
      <c r="K128" s="44">
        <f>J128 / (1 + APP_INVEST!$D$24)^G128</f>
        <v>75121.282180450246</v>
      </c>
    </row>
    <row r="129" spans="7:11" x14ac:dyDescent="0.3">
      <c r="G129" s="45">
        <f t="shared" si="2"/>
        <v>127</v>
      </c>
      <c r="H129" s="44">
        <f>H128 * (1 + APP_INVEST!$D$23) + APP_INVEST!$D$22</f>
        <v>218825.16753403231</v>
      </c>
      <c r="I129" s="44">
        <f>I128 * (1 + APP_INVEST!$D$25) + APP_INVEST!$D$22</f>
        <v>172241.00215325764</v>
      </c>
      <c r="J129" s="44">
        <f>G129 * APP_INVEST!$D$22</f>
        <v>114300</v>
      </c>
      <c r="K129" s="44">
        <f>J129 / (1 + APP_INVEST!$D$24)^G129</f>
        <v>75470.412341414994</v>
      </c>
    </row>
    <row r="130" spans="7:11" x14ac:dyDescent="0.3">
      <c r="G130" s="45">
        <f t="shared" si="2"/>
        <v>128</v>
      </c>
      <c r="H130" s="44">
        <f>H129 * (1 + APP_INVEST!$D$23) + APP_INVEST!$D$22</f>
        <v>221787.59473804059</v>
      </c>
      <c r="I130" s="44">
        <f>I129 * (1 + APP_INVEST!$D$25) + APP_INVEST!$D$22</f>
        <v>174197.04417091227</v>
      </c>
      <c r="J130" s="44">
        <f>G130 * APP_INVEST!$D$22</f>
        <v>115200</v>
      </c>
      <c r="K130" s="44">
        <f>J130 / (1 + APP_INVEST!$D$24)^G130</f>
        <v>75816.46418176424</v>
      </c>
    </row>
    <row r="131" spans="7:11" x14ac:dyDescent="0.3">
      <c r="G131" s="45">
        <f t="shared" si="2"/>
        <v>129</v>
      </c>
      <c r="H131" s="44">
        <f>H130 * (1 + APP_INVEST!$D$23) + APP_INVEST!$D$22</f>
        <v>224777.94281844661</v>
      </c>
      <c r="I131" s="44">
        <f>I130 * (1 + APP_INVEST!$D$25) + APP_INVEST!$D$22</f>
        <v>176165.07905050521</v>
      </c>
      <c r="J131" s="44">
        <f>G131 * APP_INVEST!$D$22</f>
        <v>116100</v>
      </c>
      <c r="K131" s="44">
        <f>J131 / (1 + APP_INVEST!$D$24)^G131</f>
        <v>76159.454073593006</v>
      </c>
    </row>
    <row r="132" spans="7:11" x14ac:dyDescent="0.3">
      <c r="G132" s="45">
        <f t="shared" ref="G132:G195" si="3">G131+1</f>
        <v>130</v>
      </c>
      <c r="H132" s="44">
        <f>H131 * (1 + APP_INVEST!$D$23) + APP_INVEST!$D$22</f>
        <v>227796.47492951047</v>
      </c>
      <c r="I132" s="44">
        <f>I131 * (1 + APP_INVEST!$D$25) + APP_INVEST!$D$22</f>
        <v>178145.18032253132</v>
      </c>
      <c r="J132" s="44">
        <f>G132 * APP_INVEST!$D$22</f>
        <v>117000</v>
      </c>
      <c r="K132" s="44">
        <f>J132 / (1 + APP_INVEST!$D$24)^G132</f>
        <v>76499.398314926715</v>
      </c>
    </row>
    <row r="133" spans="7:11" x14ac:dyDescent="0.3">
      <c r="G133" s="45">
        <f t="shared" si="3"/>
        <v>131</v>
      </c>
      <c r="H133" s="44">
        <f>H132 * (1 + APP_INVEST!$D$23) + APP_INVEST!$D$22</f>
        <v>230843.45670572112</v>
      </c>
      <c r="I133" s="44">
        <f>I132 * (1 + APP_INVEST!$D$25) + APP_INVEST!$D$22</f>
        <v>180137.42196831471</v>
      </c>
      <c r="J133" s="44">
        <f>G133 * APP_INVEST!$D$22</f>
        <v>117900</v>
      </c>
      <c r="K133" s="44">
        <f>J133 / (1 + APP_INVEST!$D$24)^G133</f>
        <v>76836.313130030263</v>
      </c>
    </row>
    <row r="134" spans="7:11" x14ac:dyDescent="0.3">
      <c r="G134" s="45">
        <f t="shared" si="3"/>
        <v>132</v>
      </c>
      <c r="H134" s="44">
        <f>H133 * (1 + APP_INVEST!$D$23) + APP_INVEST!$D$22</f>
        <v>233919.15628517256</v>
      </c>
      <c r="I134" s="44">
        <f>I133 * (1 + APP_INVEST!$D$25) + APP_INVEST!$D$22</f>
        <v>182141.87842277298</v>
      </c>
      <c r="J134" s="44">
        <f>G134 * APP_INVEST!$D$22</f>
        <v>118800</v>
      </c>
      <c r="K134" s="44">
        <f>J134 / (1 + APP_INVEST!$D$24)^G134</f>
        <v>77170.214669715802</v>
      </c>
    </row>
    <row r="135" spans="7:11" x14ac:dyDescent="0.3">
      <c r="G135" s="45">
        <f t="shared" si="3"/>
        <v>133</v>
      </c>
      <c r="H135" s="44">
        <f>H134 * (1 + APP_INVEST!$D$23) + APP_INVEST!$D$22</f>
        <v>237023.84433316032</v>
      </c>
      <c r="I135" s="44">
        <f>I134 * (1 + APP_INVEST!$D$25) + APP_INVEST!$D$22</f>
        <v>184158.62457719818</v>
      </c>
      <c r="J135" s="44">
        <f>G135 * APP_INVEST!$D$22</f>
        <v>119700</v>
      </c>
      <c r="K135" s="44">
        <f>J135 / (1 + APP_INVEST!$D$24)^G135</f>
        <v>77501.119011649382</v>
      </c>
    </row>
    <row r="136" spans="7:11" x14ac:dyDescent="0.3">
      <c r="G136" s="45">
        <f t="shared" si="3"/>
        <v>134</v>
      </c>
      <c r="H136" s="44">
        <f>H135 * (1 + APP_INVEST!$D$23) + APP_INVEST!$D$22</f>
        <v>240157.79406600035</v>
      </c>
      <c r="I136" s="44">
        <f>I135 * (1 + APP_INVEST!$D$25) + APP_INVEST!$D$22</f>
        <v>186187.73578205498</v>
      </c>
      <c r="J136" s="44">
        <f>G136 * APP_INVEST!$D$22</f>
        <v>120600</v>
      </c>
      <c r="K136" s="44">
        <f>J136 / (1 + APP_INVEST!$D$24)^G136</f>
        <v>77829.042160656318</v>
      </c>
    </row>
    <row r="137" spans="7:11" x14ac:dyDescent="0.3">
      <c r="G137" s="45">
        <f t="shared" si="3"/>
        <v>135</v>
      </c>
      <c r="H137" s="44">
        <f>H136 * (1 + APP_INVEST!$D$23) + APP_INVEST!$D$22</f>
        <v>243321.2812750724</v>
      </c>
      <c r="I137" s="44">
        <f>I136 * (1 + APP_INVEST!$D$25) + APP_INVEST!$D$22</f>
        <v>188229.28784979598</v>
      </c>
      <c r="J137" s="44">
        <f>G137 * APP_INVEST!$D$22</f>
        <v>121500</v>
      </c>
      <c r="K137" s="44">
        <f>J137 / (1 + APP_INVEST!$D$24)^G137</f>
        <v>78154.000049025417</v>
      </c>
    </row>
    <row r="138" spans="7:11" x14ac:dyDescent="0.3">
      <c r="G138" s="45">
        <f t="shared" si="3"/>
        <v>136</v>
      </c>
      <c r="H138" s="44">
        <f>H137 * (1 + APP_INVEST!$D$23) + APP_INVEST!$D$22</f>
        <v>246514.58435108996</v>
      </c>
      <c r="I138" s="44">
        <f>I137 * (1 + APP_INVEST!$D$25) + APP_INVEST!$D$22</f>
        <v>190283.35705769414</v>
      </c>
      <c r="J138" s="44">
        <f>G138 * APP_INVEST!$D$22</f>
        <v>122400</v>
      </c>
      <c r="K138" s="44">
        <f>J138 / (1 + APP_INVEST!$D$24)^G138</f>
        <v>78476.008536811962</v>
      </c>
    </row>
    <row r="139" spans="7:11" x14ac:dyDescent="0.3">
      <c r="G139" s="45">
        <f t="shared" si="3"/>
        <v>137</v>
      </c>
      <c r="H139" s="44">
        <f>H138 * (1 + APP_INVEST!$D$23) + APP_INVEST!$D$22</f>
        <v>249737.98430859897</v>
      </c>
      <c r="I139" s="44">
        <f>I138 * (1 + APP_INVEST!$D$25) + APP_INVEST!$D$22</f>
        <v>192350.02015069278</v>
      </c>
      <c r="J139" s="44">
        <f>G139 * APP_INVEST!$D$22</f>
        <v>123300</v>
      </c>
      <c r="K139" s="44">
        <f>J139 / (1 + APP_INVEST!$D$24)^G139</f>
        <v>78795.083412139342</v>
      </c>
    </row>
    <row r="140" spans="7:11" x14ac:dyDescent="0.3">
      <c r="G140" s="45">
        <f t="shared" si="3"/>
        <v>138</v>
      </c>
      <c r="H140" s="44">
        <f>H139 * (1 + APP_INVEST!$D$23) + APP_INVEST!$D$22</f>
        <v>252991.76481070751</v>
      </c>
      <c r="I140" s="44">
        <f>I139 * (1 + APP_INVEST!$D$25) + APP_INVEST!$D$22</f>
        <v>194429.35434427293</v>
      </c>
      <c r="J140" s="44">
        <f>G140 * APP_INVEST!$D$22</f>
        <v>124200</v>
      </c>
      <c r="K140" s="44">
        <f>J140 / (1 + APP_INVEST!$D$24)^G140</f>
        <v>79111.240391499785</v>
      </c>
    </row>
    <row r="141" spans="7:11" x14ac:dyDescent="0.3">
      <c r="G141" s="45">
        <f t="shared" si="3"/>
        <v>139</v>
      </c>
      <c r="H141" s="44">
        <f>H140 * (1 + APP_INVEST!$D$23) + APP_INVEST!$D$22</f>
        <v>256276.21219404842</v>
      </c>
      <c r="I141" s="44">
        <f>I140 * (1 + APP_INVEST!$D$25) + APP_INVEST!$D$22</f>
        <v>196521.43732733824</v>
      </c>
      <c r="J141" s="44">
        <f>G141 * APP_INVEST!$D$22</f>
        <v>125100</v>
      </c>
      <c r="K141" s="44">
        <f>J141 / (1 + APP_INVEST!$D$24)^G141</f>
        <v>79424.495120053602</v>
      </c>
    </row>
    <row r="142" spans="7:11" x14ac:dyDescent="0.3">
      <c r="G142" s="45">
        <f t="shared" si="3"/>
        <v>140</v>
      </c>
      <c r="H142" s="44">
        <f>H141 * (1 + APP_INVEST!$D$23) + APP_INVEST!$D$22</f>
        <v>259591.61549397733</v>
      </c>
      <c r="I142" s="44">
        <f>I141 * (1 + APP_INVEST!$D$25) + APP_INVEST!$D$22</f>
        <v>198626.34726511769</v>
      </c>
      <c r="J142" s="44">
        <f>G142 * APP_INVEST!$D$22</f>
        <v>126000</v>
      </c>
      <c r="K142" s="44">
        <f>J142 / (1 + APP_INVEST!$D$24)^G142</f>
        <v>79734.8631719275</v>
      </c>
    </row>
    <row r="143" spans="7:11" x14ac:dyDescent="0.3">
      <c r="G143" s="45">
        <f t="shared" si="3"/>
        <v>141</v>
      </c>
      <c r="H143" s="44">
        <f>H142 * (1 + APP_INVEST!$D$23) + APP_INVEST!$D$22</f>
        <v>262938.26647000806</v>
      </c>
      <c r="I143" s="44">
        <f>I142 * (1 + APP_INVEST!$D$25) + APP_INVEST!$D$22</f>
        <v>200744.16280208598</v>
      </c>
      <c r="J143" s="44">
        <f>G143 * APP_INVEST!$D$22</f>
        <v>126900</v>
      </c>
      <c r="K143" s="44">
        <f>J143 / (1 + APP_INVEST!$D$24)^G143</f>
        <v>80042.360050511386</v>
      </c>
    </row>
    <row r="144" spans="7:11" x14ac:dyDescent="0.3">
      <c r="G144" s="45">
        <f t="shared" si="3"/>
        <v>142</v>
      </c>
      <c r="H144" s="44">
        <f>H143 * (1 + APP_INVEST!$D$23) + APP_INVEST!$D$22</f>
        <v>266316.4596314879</v>
      </c>
      <c r="I144" s="44">
        <f>I143 * (1 + APP_INVEST!$D$25) + APP_INVEST!$D$22</f>
        <v>202874.96306490191</v>
      </c>
      <c r="J144" s="44">
        <f>G144 * APP_INVEST!$D$22</f>
        <v>127800</v>
      </c>
      <c r="K144" s="44">
        <f>J144 / (1 + APP_INVEST!$D$24)^G144</f>
        <v>80347.001188754351</v>
      </c>
    </row>
    <row r="145" spans="7:11" x14ac:dyDescent="0.3">
      <c r="G145" s="45">
        <f t="shared" si="3"/>
        <v>143</v>
      </c>
      <c r="H145" s="44">
        <f>H144 * (1 + APP_INVEST!$D$23) + APP_INVEST!$D$22</f>
        <v>269726.49226351466</v>
      </c>
      <c r="I145" s="44">
        <f>I144 * (1 + APP_INVEST!$D$25) + APP_INVEST!$D$22</f>
        <v>205018.82766536469</v>
      </c>
      <c r="J145" s="44">
        <f>G145 * APP_INVEST!$D$22</f>
        <v>128700</v>
      </c>
      <c r="K145" s="44">
        <f>J145 / (1 + APP_INVEST!$D$24)^G145</f>
        <v>80648.801949459201</v>
      </c>
    </row>
    <row r="146" spans="7:11" x14ac:dyDescent="0.3">
      <c r="G146" s="45">
        <f t="shared" si="3"/>
        <v>144</v>
      </c>
      <c r="H146" s="44">
        <f>H145 * (1 + APP_INVEST!$D$23) + APP_INVEST!$D$22</f>
        <v>273168.66445309832</v>
      </c>
      <c r="I146" s="44">
        <f>I145 * (1 + APP_INVEST!$D$25) + APP_INVEST!$D$22</f>
        <v>207175.83670338849</v>
      </c>
      <c r="J146" s="44">
        <f>G146 * APP_INVEST!$D$22</f>
        <v>129600</v>
      </c>
      <c r="K146" s="44">
        <f>J146 / (1 + APP_INVEST!$D$24)^G146</f>
        <v>80947.777625575982</v>
      </c>
    </row>
    <row r="147" spans="7:11" x14ac:dyDescent="0.3">
      <c r="G147" s="45">
        <f t="shared" si="3"/>
        <v>145</v>
      </c>
      <c r="H147" s="44">
        <f>H146 * (1 + APP_INVEST!$D$23) + APP_INVEST!$D$22</f>
        <v>276643.27911556879</v>
      </c>
      <c r="I147" s="44">
        <f>I146 * (1 + APP_INVEST!$D$25) + APP_INVEST!$D$22</f>
        <v>209346.07076999513</v>
      </c>
      <c r="J147" s="44">
        <f>G147 * APP_INVEST!$D$22</f>
        <v>130500</v>
      </c>
      <c r="K147" s="44">
        <f>J147 / (1 + APP_INVEST!$D$24)^G147</f>
        <v>81243.943440494171</v>
      </c>
    </row>
    <row r="148" spans="7:11" x14ac:dyDescent="0.3">
      <c r="G148" s="45">
        <f t="shared" si="3"/>
        <v>146</v>
      </c>
      <c r="H148" s="44">
        <f>H147 * (1 + APP_INVEST!$D$23) + APP_INVEST!$D$22</f>
        <v>280150.64202123304</v>
      </c>
      <c r="I148" s="44">
        <f>I147 * (1 + APP_INVEST!$D$25) + APP_INVEST!$D$22</f>
        <v>211529.61095032515</v>
      </c>
      <c r="J148" s="44">
        <f>G148 * APP_INVEST!$D$22</f>
        <v>131400</v>
      </c>
      <c r="K148" s="44">
        <f>J148 / (1 + APP_INVEST!$D$24)^G148</f>
        <v>81537.314548333932</v>
      </c>
    </row>
    <row r="149" spans="7:11" x14ac:dyDescent="0.3">
      <c r="G149" s="45">
        <f t="shared" si="3"/>
        <v>147</v>
      </c>
      <c r="H149" s="44">
        <f>H148 * (1 + APP_INVEST!$D$23) + APP_INVEST!$D$22</f>
        <v>283691.06182228314</v>
      </c>
      <c r="I149" s="44">
        <f>I148 * (1 + APP_INVEST!$D$25) + APP_INVEST!$D$22</f>
        <v>213726.53882666738</v>
      </c>
      <c r="J149" s="44">
        <f>G149 * APP_INVEST!$D$22</f>
        <v>132300</v>
      </c>
      <c r="K149" s="44">
        <f>J149 / (1 + APP_INVEST!$D$24)^G149</f>
        <v>81827.906034235988</v>
      </c>
    </row>
    <row r="150" spans="7:11" x14ac:dyDescent="0.3">
      <c r="G150" s="45">
        <f t="shared" si="3"/>
        <v>148</v>
      </c>
      <c r="H150" s="44">
        <f>H149 * (1 + APP_INVEST!$D$23) + APP_INVEST!$D$22</f>
        <v>287264.85007995815</v>
      </c>
      <c r="I150" s="44">
        <f>I149 * (1 + APP_INVEST!$D$25) + APP_INVEST!$D$22</f>
        <v>215936.93648150703</v>
      </c>
      <c r="J150" s="44">
        <f>G150 * APP_INVEST!$D$22</f>
        <v>133200</v>
      </c>
      <c r="K150" s="44">
        <f>J150 / (1 + APP_INVEST!$D$24)^G150</f>
        <v>82115.732914650478</v>
      </c>
    </row>
    <row r="151" spans="7:11" x14ac:dyDescent="0.3">
      <c r="G151" s="45">
        <f t="shared" si="3"/>
        <v>149</v>
      </c>
      <c r="H151" s="44">
        <f>H150 * (1 + APP_INVEST!$D$23) + APP_INVEST!$D$22</f>
        <v>290872.32129196177</v>
      </c>
      <c r="I151" s="44">
        <f>I150 * (1 + APP_INVEST!$D$25) + APP_INVEST!$D$22</f>
        <v>218160.88650059243</v>
      </c>
      <c r="J151" s="44">
        <f>G151 * APP_INVEST!$D$22</f>
        <v>134100</v>
      </c>
      <c r="K151" s="44">
        <f>J151 / (1 + APP_INVEST!$D$24)^G151</f>
        <v>82400.81013762462</v>
      </c>
    </row>
    <row r="152" spans="7:11" x14ac:dyDescent="0.3">
      <c r="G152" s="45">
        <f t="shared" si="3"/>
        <v>150</v>
      </c>
      <c r="H152" s="44">
        <f>H151 * (1 + APP_INVEST!$D$23) + APP_INVEST!$D$22</f>
        <v>294513.79292013851</v>
      </c>
      <c r="I152" s="44">
        <f>I151 * (1 + APP_INVEST!$D$25) + APP_INVEST!$D$22</f>
        <v>220398.47197602072</v>
      </c>
      <c r="J152" s="44">
        <f>G152 * APP_INVEST!$D$22</f>
        <v>135000</v>
      </c>
      <c r="K152" s="44">
        <f>J152 / (1 + APP_INVEST!$D$24)^G152</f>
        <v>82683.152583089191</v>
      </c>
    </row>
    <row r="153" spans="7:11" x14ac:dyDescent="0.3">
      <c r="G153" s="45">
        <f t="shared" si="3"/>
        <v>151</v>
      </c>
      <c r="H153" s="44">
        <f>H152 * (1 + APP_INVEST!$D$23) + APP_INVEST!$D$22</f>
        <v>298189.58541841083</v>
      </c>
      <c r="I153" s="44">
        <f>I152 * (1 + APP_INVEST!$D$25) + APP_INVEST!$D$22</f>
        <v>222649.77650934234</v>
      </c>
      <c r="J153" s="44">
        <f>G153 * APP_INVEST!$D$22</f>
        <v>135900</v>
      </c>
      <c r="K153" s="44">
        <f>J153 / (1 + APP_INVEST!$D$24)^G153</f>
        <v>82962.775063143927</v>
      </c>
    </row>
    <row r="154" spans="7:11" x14ac:dyDescent="0.3">
      <c r="G154" s="45">
        <f t="shared" si="3"/>
        <v>152</v>
      </c>
      <c r="H154" s="44">
        <f>H153 * (1 + APP_INVEST!$D$23) + APP_INVEST!$D$22</f>
        <v>301900.02226097934</v>
      </c>
      <c r="I154" s="44">
        <f>I153 * (1 + APP_INVEST!$D$25) + APP_INVEST!$D$22</f>
        <v>224914.88421468457</v>
      </c>
      <c r="J154" s="44">
        <f>G154 * APP_INVEST!$D$22</f>
        <v>136800</v>
      </c>
      <c r="K154" s="44">
        <f>J154 / (1 + APP_INVEST!$D$24)^G154</f>
        <v>83239.692322341842</v>
      </c>
    </row>
    <row r="155" spans="7:11" x14ac:dyDescent="0.3">
      <c r="G155" s="45">
        <f t="shared" si="3"/>
        <v>153</v>
      </c>
      <c r="H155" s="44">
        <f>H154 * (1 + APP_INVEST!$D$23) + APP_INVEST!$D$22</f>
        <v>305645.42997078906</v>
      </c>
      <c r="I155" s="44">
        <f>I154 * (1 + APP_INVEST!$D$25) + APP_INVEST!$D$22</f>
        <v>227193.87972189425</v>
      </c>
      <c r="J155" s="44">
        <f>G155 * APP_INVEST!$D$22</f>
        <v>137700</v>
      </c>
      <c r="K155" s="44">
        <f>J155 / (1 + APP_INVEST!$D$24)^G155</f>
        <v>83513.919037972155</v>
      </c>
    </row>
    <row r="156" spans="7:11" x14ac:dyDescent="0.3">
      <c r="G156" s="45">
        <f t="shared" si="3"/>
        <v>154</v>
      </c>
      <c r="H156" s="44">
        <f>H155 * (1 + APP_INVEST!$D$23) + APP_INVEST!$D$22</f>
        <v>309426.13814826374</v>
      </c>
      <c r="I156" s="44">
        <f>I155 * (1 + APP_INVEST!$D$25) + APP_INVEST!$D$22</f>
        <v>229486.84817969974</v>
      </c>
      <c r="J156" s="44">
        <f>G156 * APP_INVEST!$D$22</f>
        <v>138600</v>
      </c>
      <c r="K156" s="44">
        <f>J156 / (1 + APP_INVEST!$D$24)^G156</f>
        <v>83785.46982034239</v>
      </c>
    </row>
    <row r="157" spans="7:11" x14ac:dyDescent="0.3">
      <c r="G157" s="45">
        <f t="shared" si="3"/>
        <v>155</v>
      </c>
      <c r="H157" s="44">
        <f>H156 * (1 + APP_INVEST!$D$23) + APP_INVEST!$D$22</f>
        <v>313242.47950031114</v>
      </c>
      <c r="I157" s="44">
        <f>I156 * (1 + APP_INVEST!$D$25) + APP_INVEST!$D$22</f>
        <v>231793.87525889228</v>
      </c>
      <c r="J157" s="44">
        <f>G157 * APP_INVEST!$D$22</f>
        <v>139500</v>
      </c>
      <c r="K157" s="44">
        <f>J157 / (1 + APP_INVEST!$D$24)^G157</f>
        <v>84054.359213059244</v>
      </c>
    </row>
    <row r="158" spans="7:11" x14ac:dyDescent="0.3">
      <c r="G158" s="45">
        <f t="shared" si="3"/>
        <v>156</v>
      </c>
      <c r="H158" s="44">
        <f>H157 * (1 + APP_INVEST!$D$23) + APP_INVEST!$D$22</f>
        <v>317094.78986960155</v>
      </c>
      <c r="I158" s="44">
        <f>I157 * (1 + APP_INVEST!$D$25) + APP_INVEST!$D$22</f>
        <v>234115.04715552687</v>
      </c>
      <c r="J158" s="44">
        <f>G158 * APP_INVEST!$D$22</f>
        <v>140400</v>
      </c>
      <c r="K158" s="44">
        <f>J158 / (1 + APP_INVEST!$D$24)^G158</f>
        <v>84320.601693308272</v>
      </c>
    </row>
    <row r="159" spans="7:11" x14ac:dyDescent="0.3">
      <c r="G159" s="45">
        <f t="shared" si="3"/>
        <v>157</v>
      </c>
      <c r="H159" s="44">
        <f>H158 * (1 + APP_INVEST!$D$23) + APP_INVEST!$D$22</f>
        <v>320983.40826412255</v>
      </c>
      <c r="I159" s="44">
        <f>I158 * (1 + APP_INVEST!$D$25) + APP_INVEST!$D$22</f>
        <v>236450.45059414278</v>
      </c>
      <c r="J159" s="44">
        <f>G159 * APP_INVEST!$D$22</f>
        <v>141300</v>
      </c>
      <c r="K159" s="44">
        <f>J159 / (1 + APP_INVEST!$D$24)^G159</f>
        <v>84584.211672132471</v>
      </c>
    </row>
    <row r="160" spans="7:11" x14ac:dyDescent="0.3">
      <c r="G160" s="45">
        <f t="shared" si="3"/>
        <v>158</v>
      </c>
      <c r="H160" s="44">
        <f>H159 * (1 + APP_INVEST!$D$23) + APP_INVEST!$D$22</f>
        <v>324908.67688701191</v>
      </c>
      <c r="I160" s="44">
        <f>I159 * (1 + APP_INVEST!$D$25) + APP_INVEST!$D$22</f>
        <v>238800.1728310037</v>
      </c>
      <c r="J160" s="44">
        <f>G160 * APP_INVEST!$D$22</f>
        <v>142200</v>
      </c>
      <c r="K160" s="44">
        <f>J160 / (1 + APP_INVEST!$D$24)^G160</f>
        <v>84845.203494709916</v>
      </c>
    </row>
    <row r="161" spans="7:11" x14ac:dyDescent="0.3">
      <c r="G161" s="45">
        <f t="shared" si="3"/>
        <v>159</v>
      </c>
      <c r="H161" s="44">
        <f>H160 * (1 + APP_INVEST!$D$23) + APP_INVEST!$D$22</f>
        <v>328870.94116667198</v>
      </c>
      <c r="I161" s="44">
        <f>I160 * (1 + APP_INVEST!$D$25) + APP_INVEST!$D$22</f>
        <v>241164.30165735795</v>
      </c>
      <c r="J161" s="44">
        <f>G161 * APP_INVEST!$D$22</f>
        <v>143100</v>
      </c>
      <c r="K161" s="44">
        <f>J161 / (1 + APP_INVEST!$D$24)^G161</f>
        <v>85103.59144063</v>
      </c>
    </row>
    <row r="162" spans="7:11" x14ac:dyDescent="0.3">
      <c r="G162" s="45">
        <f t="shared" si="3"/>
        <v>160</v>
      </c>
      <c r="H162" s="44">
        <f>H161 * (1 + APP_INVEST!$D$23) + APP_INVEST!$D$22</f>
        <v>332870.54978716787</v>
      </c>
      <c r="I162" s="44">
        <f>I161 * (1 + APP_INVEST!$D$25) + APP_INVEST!$D$22</f>
        <v>243542.92540271854</v>
      </c>
      <c r="J162" s="44">
        <f>G162 * APP_INVEST!$D$22</f>
        <v>144000</v>
      </c>
      <c r="K162" s="44">
        <f>J162 / (1 + APP_INVEST!$D$24)^G162</f>
        <v>85359.389724168854</v>
      </c>
    </row>
    <row r="163" spans="7:11" x14ac:dyDescent="0.3">
      <c r="G163" s="45">
        <f t="shared" si="3"/>
        <v>161</v>
      </c>
      <c r="H163" s="44">
        <f>H162 * (1 + APP_INVEST!$D$23) + APP_INVEST!$D$22</f>
        <v>336907.85471891193</v>
      </c>
      <c r="I163" s="44">
        <f>I162 * (1 + APP_INVEST!$D$25) + APP_INVEST!$D$22</f>
        <v>245936.1329381633</v>
      </c>
      <c r="J163" s="44">
        <f>G163 * APP_INVEST!$D$22</f>
        <v>144900</v>
      </c>
      <c r="K163" s="44">
        <f>J163 / (1 + APP_INVEST!$D$24)^G163</f>
        <v>85612.61249456348</v>
      </c>
    </row>
    <row r="164" spans="7:11" x14ac:dyDescent="0.3">
      <c r="G164" s="45">
        <f t="shared" si="3"/>
        <v>162</v>
      </c>
      <c r="H164" s="44">
        <f>H163 * (1 + APP_INVEST!$D$23) + APP_INVEST!$D$22</f>
        <v>340983.21124963765</v>
      </c>
      <c r="I164" s="44">
        <f>I163 * (1 + APP_INVEST!$D$25) + APP_INVEST!$D$22</f>
        <v>248344.01367965541</v>
      </c>
      <c r="J164" s="44">
        <f>G164 * APP_INVEST!$D$22</f>
        <v>145800</v>
      </c>
      <c r="K164" s="44">
        <f>J164 / (1 + APP_INVEST!$D$24)^G164</f>
        <v>85863.273836284876</v>
      </c>
    </row>
    <row r="165" spans="7:11" x14ac:dyDescent="0.3">
      <c r="G165" s="45">
        <f t="shared" si="3"/>
        <v>163</v>
      </c>
      <c r="H165" s="44">
        <f>H164 * (1 + APP_INVEST!$D$23) + APP_INVEST!$D$22</f>
        <v>345096.97801566549</v>
      </c>
      <c r="I165" s="44">
        <f>I164 * (1 + APP_INVEST!$D$25) + APP_INVEST!$D$22</f>
        <v>250766.65759138417</v>
      </c>
      <c r="J165" s="44">
        <f>G165 * APP_INVEST!$D$22</f>
        <v>146700</v>
      </c>
      <c r="K165" s="44">
        <f>J165 / (1 + APP_INVEST!$D$24)^G165</f>
        <v>86111.387769310095</v>
      </c>
    </row>
    <row r="166" spans="7:11" x14ac:dyDescent="0.3">
      <c r="G166" s="45">
        <f t="shared" si="3"/>
        <v>164</v>
      </c>
      <c r="H166" s="44">
        <f>H165 * (1 + APP_INVEST!$D$23) + APP_INVEST!$D$22</f>
        <v>349249.51703346317</v>
      </c>
      <c r="I166" s="44">
        <f>I165 * (1 + APP_INVEST!$D$25) + APP_INVEST!$D$22</f>
        <v>253204.15518912621</v>
      </c>
      <c r="J166" s="44">
        <f>G166 * APP_INVEST!$D$22</f>
        <v>147600</v>
      </c>
      <c r="K166" s="44">
        <f>J166 / (1 + APP_INVEST!$D$24)^G166</f>
        <v>86356.96824939306</v>
      </c>
    </row>
    <row r="167" spans="7:11" x14ac:dyDescent="0.3">
      <c r="G167" s="45">
        <f t="shared" si="3"/>
        <v>165</v>
      </c>
      <c r="H167" s="44">
        <f>H166 * (1 + APP_INVEST!$D$23) + APP_INVEST!$D$22</f>
        <v>353441.19373150356</v>
      </c>
      <c r="I167" s="44">
        <f>I166 * (1 + APP_INVEST!$D$25) + APP_INVEST!$D$22</f>
        <v>255656.59754362749</v>
      </c>
      <c r="J167" s="44">
        <f>G167 * APP_INVEST!$D$22</f>
        <v>148500</v>
      </c>
      <c r="K167" s="44">
        <f>J167 / (1 + APP_INVEST!$D$24)^G167</f>
        <v>86600.029168334571</v>
      </c>
    </row>
    <row r="168" spans="7:11" x14ac:dyDescent="0.3">
      <c r="G168" s="45">
        <f t="shared" si="3"/>
        <v>166</v>
      </c>
      <c r="H168" s="44">
        <f>H167 * (1 + APP_INVEST!$D$23) + APP_INVEST!$D$22</f>
        <v>357672.37698242301</v>
      </c>
      <c r="I168" s="44">
        <f>I167 * (1 + APP_INVEST!$D$25) + APP_INVEST!$D$22</f>
        <v>258124.07628400583</v>
      </c>
      <c r="J168" s="44">
        <f>G168 * APP_INVEST!$D$22</f>
        <v>149400</v>
      </c>
      <c r="K168" s="44">
        <f>J168 / (1 + APP_INVEST!$D$24)^G168</f>
        <v>86840.584354250925</v>
      </c>
    </row>
    <row r="169" spans="7:11" x14ac:dyDescent="0.3">
      <c r="G169" s="45">
        <f t="shared" si="3"/>
        <v>167</v>
      </c>
      <c r="H169" s="44">
        <f>H168 * (1 + APP_INVEST!$D$23) + APP_INVEST!$D$22</f>
        <v>361943.43913548236</v>
      </c>
      <c r="I169" s="44">
        <f>I168 * (1 + APP_INVEST!$D$25) + APP_INVEST!$D$22</f>
        <v>260606.68360117445</v>
      </c>
      <c r="J169" s="44">
        <f>G169 * APP_INVEST!$D$22</f>
        <v>150300</v>
      </c>
      <c r="K169" s="44">
        <f>J169 / (1 + APP_INVEST!$D$24)^G169</f>
        <v>87078.64757184172</v>
      </c>
    </row>
    <row r="170" spans="7:11" x14ac:dyDescent="0.3">
      <c r="G170" s="45">
        <f t="shared" si="3"/>
        <v>168</v>
      </c>
      <c r="H170" s="44">
        <f>H169 * (1 + APP_INVEST!$D$23) + APP_INVEST!$D$22</f>
        <v>366254.7560493343</v>
      </c>
      <c r="I170" s="44">
        <f>I169 * (1 + APP_INVEST!$D$25) + APP_INVEST!$D$22</f>
        <v>263104.51225128642</v>
      </c>
      <c r="J170" s="44">
        <f>G170 * APP_INVEST!$D$22</f>
        <v>151200</v>
      </c>
      <c r="K170" s="44">
        <f>J170 / (1 + APP_INVEST!$D$24)^G170</f>
        <v>87314.232522656443</v>
      </c>
    </row>
    <row r="171" spans="7:11" x14ac:dyDescent="0.3">
      <c r="G171" s="45">
        <f t="shared" si="3"/>
        <v>169</v>
      </c>
      <c r="H171" s="44">
        <f>H170 * (1 + APP_INVEST!$D$23) + APP_INVEST!$D$22</f>
        <v>370606.70712509926</v>
      </c>
      <c r="I171" s="44">
        <f>I170 * (1 + APP_INVEST!$D$25) + APP_INVEST!$D$22</f>
        <v>265617.65555920021</v>
      </c>
      <c r="J171" s="44">
        <f>G171 * APP_INVEST!$D$22</f>
        <v>152100</v>
      </c>
      <c r="K171" s="44">
        <f>J171 / (1 + APP_INVEST!$D$24)^G171</f>
        <v>87547.352845360001</v>
      </c>
    </row>
    <row r="172" spans="7:11" x14ac:dyDescent="0.3">
      <c r="G172" s="45">
        <f t="shared" si="3"/>
        <v>170</v>
      </c>
      <c r="H172" s="44">
        <f>H171 * (1 + APP_INVEST!$D$23) + APP_INVEST!$D$22</f>
        <v>374999.67533975333</v>
      </c>
      <c r="I172" s="44">
        <f>I171 * (1 + APP_INVEST!$D$25) + APP_INVEST!$D$22</f>
        <v>268146.2074219666</v>
      </c>
      <c r="J172" s="44">
        <f>G172 * APP_INVEST!$D$22</f>
        <v>153000</v>
      </c>
      <c r="K172" s="44">
        <f>J172 / (1 + APP_INVEST!$D$24)^G172</f>
        <v>87778.022115997315</v>
      </c>
    </row>
    <row r="173" spans="7:11" x14ac:dyDescent="0.3">
      <c r="G173" s="45">
        <f t="shared" si="3"/>
        <v>171</v>
      </c>
      <c r="H173" s="44">
        <f>H172 * (1 + APP_INVEST!$D$23) + APP_INVEST!$D$22</f>
        <v>379434.0472798305</v>
      </c>
      <c r="I173" s="44">
        <f>I172 * (1 + APP_INVEST!$D$25) + APP_INVEST!$D$22</f>
        <v>270690.26231233682</v>
      </c>
      <c r="J173" s="44">
        <f>G173 * APP_INVEST!$D$22</f>
        <v>153900</v>
      </c>
      <c r="K173" s="44">
        <f>J173 / (1 + APP_INVEST!$D$24)^G173</f>
        <v>88006.25384825666</v>
      </c>
    </row>
    <row r="174" spans="7:11" x14ac:dyDescent="0.3">
      <c r="G174" s="45">
        <f t="shared" si="3"/>
        <v>172</v>
      </c>
      <c r="H174" s="44">
        <f>H173 * (1 + APP_INVEST!$D$23) + APP_INVEST!$D$22</f>
        <v>383910.21317544288</v>
      </c>
      <c r="I174" s="44">
        <f>I173 * (1 + APP_INVEST!$D$25) + APP_INVEST!$D$22</f>
        <v>273249.91528229241</v>
      </c>
      <c r="J174" s="44">
        <f>G174 * APP_INVEST!$D$22</f>
        <v>154800</v>
      </c>
      <c r="K174" s="44">
        <f>J174 / (1 + APP_INVEST!$D$24)^G174</f>
        <v>88232.061493732181</v>
      </c>
    </row>
    <row r="175" spans="7:11" x14ac:dyDescent="0.3">
      <c r="G175" s="45">
        <f t="shared" si="3"/>
        <v>173</v>
      </c>
      <c r="H175" s="44">
        <f>H174 * (1 + APP_INVEST!$D$23) + APP_INVEST!$D$22</f>
        <v>388428.56693462143</v>
      </c>
      <c r="I175" s="44">
        <f>I174 * (1 + APP_INVEST!$D$25) + APP_INVEST!$D$22</f>
        <v>275825.26196659647</v>
      </c>
      <c r="J175" s="44">
        <f>G175 * APP_INVEST!$D$22</f>
        <v>155700</v>
      </c>
      <c r="K175" s="44">
        <f>J175 / (1 + APP_INVEST!$D$24)^G175</f>
        <v>88455.458442185103</v>
      </c>
    </row>
    <row r="176" spans="7:11" x14ac:dyDescent="0.3">
      <c r="G176" s="45">
        <f t="shared" si="3"/>
        <v>174</v>
      </c>
      <c r="H176" s="44">
        <f>H175 * (1 + APP_INVEST!$D$23) + APP_INVEST!$D$22</f>
        <v>392989.50617798022</v>
      </c>
      <c r="I176" s="44">
        <f>I175 * (1 + APP_INVEST!$D$25) + APP_INVEST!$D$22</f>
        <v>278416.39858636685</v>
      </c>
      <c r="J176" s="44">
        <f>G176 * APP_INVEST!$D$22</f>
        <v>156600</v>
      </c>
      <c r="K176" s="44">
        <f>J176 / (1 + APP_INVEST!$D$24)^G176</f>
        <v>88676.458021804123</v>
      </c>
    </row>
    <row r="177" spans="7:11" x14ac:dyDescent="0.3">
      <c r="G177" s="45">
        <f t="shared" si="3"/>
        <v>175</v>
      </c>
      <c r="H177" s="44">
        <f>H176 * (1 + APP_INVEST!$D$23) + APP_INVEST!$D$22</f>
        <v>397593.4322737077</v>
      </c>
      <c r="I177" s="44">
        <f>I176 * (1 + APP_INVEST!$D$25) + APP_INVEST!$D$22</f>
        <v>281023.4219526712</v>
      </c>
      <c r="J177" s="44">
        <f>G177 * APP_INVEST!$D$22</f>
        <v>157500</v>
      </c>
      <c r="K177" s="44">
        <f>J177 / (1 + APP_INVEST!$D$24)^G177</f>
        <v>88895.073499464692</v>
      </c>
    </row>
    <row r="178" spans="7:11" x14ac:dyDescent="0.3">
      <c r="G178" s="45">
        <f t="shared" si="3"/>
        <v>176</v>
      </c>
      <c r="H178" s="44">
        <f>H177 * (1 + APP_INVEST!$D$23) + APP_INVEST!$D$22</f>
        <v>402240.75037288741</v>
      </c>
      <c r="I178" s="44">
        <f>I177 * (1 + APP_INVEST!$D$25) + APP_INVEST!$D$22</f>
        <v>283646.42947014398</v>
      </c>
      <c r="J178" s="44">
        <f>G178 * APP_INVEST!$D$22</f>
        <v>158400</v>
      </c>
      <c r="K178" s="44">
        <f>J178 / (1 + APP_INVEST!$D$24)^G178</f>
        <v>89111.31808098717</v>
      </c>
    </row>
    <row r="179" spans="7:11" x14ac:dyDescent="0.3">
      <c r="G179" s="45">
        <f t="shared" si="3"/>
        <v>177</v>
      </c>
      <c r="H179" s="44">
        <f>H178 * (1 + APP_INVEST!$D$23) + APP_INVEST!$D$22</f>
        <v>406931.86944515188</v>
      </c>
      <c r="I179" s="44">
        <f>I178 * (1 + APP_INVEST!$D$25) + APP_INVEST!$D$22</f>
        <v>286285.5191406259</v>
      </c>
      <c r="J179" s="44">
        <f>G179 * APP_INVEST!$D$22</f>
        <v>159300</v>
      </c>
      <c r="K179" s="44">
        <f>J179 / (1 + APP_INVEST!$D$24)^G179</f>
        <v>89325.204911394001</v>
      </c>
    </row>
    <row r="180" spans="7:11" x14ac:dyDescent="0.3">
      <c r="G180" s="45">
        <f t="shared" si="3"/>
        <v>178</v>
      </c>
      <c r="H180" s="44">
        <f>H179 * (1 + APP_INVEST!$D$23) + APP_INVEST!$D$22</f>
        <v>411667.20231467247</v>
      </c>
      <c r="I180" s="44">
        <f>I179 * (1 + APP_INVEST!$D$25) + APP_INVEST!$D$22</f>
        <v>288940.78956682538</v>
      </c>
      <c r="J180" s="44">
        <f>G180 * APP_INVEST!$D$22</f>
        <v>160200</v>
      </c>
      <c r="K180" s="44">
        <f>J180 / (1 + APP_INVEST!$D$24)^G180</f>
        <v>89536.747075165986</v>
      </c>
    </row>
    <row r="181" spans="7:11" x14ac:dyDescent="0.3">
      <c r="G181" s="45">
        <f t="shared" si="3"/>
        <v>179</v>
      </c>
      <c r="H181" s="44">
        <f>H180 * (1 + APP_INVEST!$D$23) + APP_INVEST!$D$22</f>
        <v>416447.16569648829</v>
      </c>
      <c r="I181" s="44">
        <f>I180 * (1 + APP_INVEST!$D$25) + APP_INVEST!$D$22</f>
        <v>291612.3399560026</v>
      </c>
      <c r="J181" s="44">
        <f>G181 * APP_INVEST!$D$22</f>
        <v>161100</v>
      </c>
      <c r="K181" s="44">
        <f>J181 / (1 + APP_INVEST!$D$24)^G181</f>
        <v>89745.957596497377</v>
      </c>
    </row>
    <row r="182" spans="7:11" x14ac:dyDescent="0.3">
      <c r="G182" s="45">
        <f t="shared" si="3"/>
        <v>180</v>
      </c>
      <c r="H182" s="44">
        <f>H181 * (1 + APP_INVEST!$D$23) + APP_INVEST!$D$22</f>
        <v>421272.18023317767</v>
      </c>
      <c r="I182" s="44">
        <f>I181 * (1 + APP_INVEST!$D$25) + APP_INVEST!$D$22</f>
        <v>294300.27012367611</v>
      </c>
      <c r="J182" s="44">
        <f>G182 * APP_INVEST!$D$22</f>
        <v>162000</v>
      </c>
      <c r="K182" s="44">
        <f>J182 / (1 + APP_INVEST!$D$24)^G182</f>
        <v>89952.849439549856</v>
      </c>
    </row>
    <row r="183" spans="7:11" x14ac:dyDescent="0.3">
      <c r="G183" s="45">
        <f t="shared" si="3"/>
        <v>181</v>
      </c>
      <c r="H183" s="44">
        <f>H182 * (1 + APP_INVEST!$D$23) + APP_INVEST!$D$22</f>
        <v>426142.6705318754</v>
      </c>
      <c r="I183" s="44">
        <f>I182 * (1 + APP_INVEST!$D$25) + APP_INVEST!$D$22</f>
        <v>297004.68049735227</v>
      </c>
      <c r="J183" s="44">
        <f>G183 * APP_INVEST!$D$22</f>
        <v>162900</v>
      </c>
      <c r="K183" s="44">
        <f>J183 / (1 + APP_INVEST!$D$24)^G183</f>
        <v>90157.435508705923</v>
      </c>
    </row>
    <row r="184" spans="7:11" x14ac:dyDescent="0.3">
      <c r="G184" s="45">
        <f t="shared" si="3"/>
        <v>182</v>
      </c>
      <c r="H184" s="44">
        <f>H183 * (1 + APP_INVEST!$D$23) + APP_INVEST!$D$22</f>
        <v>431059.06520163832</v>
      </c>
      <c r="I184" s="44">
        <f>I183 * (1 + APP_INVEST!$D$25) + APP_INVEST!$D$22</f>
        <v>299725.6721202773</v>
      </c>
      <c r="J184" s="44">
        <f>G184 * APP_INVEST!$D$22</f>
        <v>163800</v>
      </c>
      <c r="K184" s="44">
        <f>J184 / (1 + APP_INVEST!$D$24)^G184</f>
        <v>90359.728648820703</v>
      </c>
    </row>
    <row r="185" spans="7:11" x14ac:dyDescent="0.3">
      <c r="G185" s="45">
        <f t="shared" si="3"/>
        <v>183</v>
      </c>
      <c r="H185" s="44">
        <f>H184 * (1 + APP_INVEST!$D$23) + APP_INVEST!$D$22</f>
        <v>436021.7968911638</v>
      </c>
      <c r="I185" s="44">
        <f>I184 * (1 + APP_INVEST!$D$25) + APP_INVEST!$D$22</f>
        <v>302463.34665521269</v>
      </c>
      <c r="J185" s="44">
        <f>G185 * APP_INVEST!$D$22</f>
        <v>164700</v>
      </c>
      <c r="K185" s="44">
        <f>J185 / (1 + APP_INVEST!$D$24)^G185</f>
        <v>90559.74164547323</v>
      </c>
    </row>
    <row r="186" spans="7:11" x14ac:dyDescent="0.3">
      <c r="G186" s="45">
        <f t="shared" si="3"/>
        <v>184</v>
      </c>
      <c r="H186" s="44">
        <f>H185 * (1 + APP_INVEST!$D$23) + APP_INVEST!$D$22</f>
        <v>441031.30232686305</v>
      </c>
      <c r="I186" s="44">
        <f>I185 * (1 + APP_INVEST!$D$25) + APP_INVEST!$D$22</f>
        <v>305217.80638823338</v>
      </c>
      <c r="J186" s="44">
        <f>G186 * APP_INVEST!$D$22</f>
        <v>165600</v>
      </c>
      <c r="K186" s="44">
        <f>J186 / (1 + APP_INVEST!$D$24)^G186</f>
        <v>90757.487225216406</v>
      </c>
    </row>
    <row r="187" spans="7:11" x14ac:dyDescent="0.3">
      <c r="G187" s="45">
        <f t="shared" si="3"/>
        <v>185</v>
      </c>
      <c r="H187" s="44">
        <f>H186 * (1 + APP_INVEST!$D$23) + APP_INVEST!$D$22</f>
        <v>446088.02235129377</v>
      </c>
      <c r="I187" s="44">
        <f>I186 * (1 + APP_INVEST!$D$25) + APP_INVEST!$D$22</f>
        <v>307989.15423254954</v>
      </c>
      <c r="J187" s="44">
        <f>G187 * APP_INVEST!$D$22</f>
        <v>166500</v>
      </c>
      <c r="K187" s="44">
        <f>J187 / (1 + APP_INVEST!$D$24)^G187</f>
        <v>90952.978055826112</v>
      </c>
    </row>
    <row r="188" spans="7:11" x14ac:dyDescent="0.3">
      <c r="G188" s="45">
        <f t="shared" si="3"/>
        <v>186</v>
      </c>
      <c r="H188" s="44">
        <f>H187 * (1 + APP_INVEST!$D$23) + APP_INVEST!$D$22</f>
        <v>451192.40196195472</v>
      </c>
      <c r="I188" s="44">
        <f>I187 * (1 + APP_INVEST!$D$25) + APP_INVEST!$D$22</f>
        <v>310777.49373235158</v>
      </c>
      <c r="J188" s="44">
        <f>G188 * APP_INVEST!$D$22</f>
        <v>167400</v>
      </c>
      <c r="K188" s="44">
        <f>J188 / (1 + APP_INVEST!$D$24)^G188</f>
        <v>91146.226746549291</v>
      </c>
    </row>
    <row r="189" spans="7:11" x14ac:dyDescent="0.3">
      <c r="G189" s="45">
        <f t="shared" si="3"/>
        <v>187</v>
      </c>
      <c r="H189" s="44">
        <f>H188 * (1 + APP_INVEST!$D$23) + APP_INVEST!$D$22</f>
        <v>456344.89035044616</v>
      </c>
      <c r="I189" s="44">
        <f>I188 * (1 + APP_INVEST!$D$25) + APP_INVEST!$D$22</f>
        <v>313582.92906667892</v>
      </c>
      <c r="J189" s="44">
        <f>G189 * APP_INVEST!$D$22</f>
        <v>168300</v>
      </c>
      <c r="K189" s="44">
        <f>J189 / (1 + APP_INVEST!$D$24)^G189</f>
        <v>91337.245848351027</v>
      </c>
    </row>
    <row r="190" spans="7:11" x14ac:dyDescent="0.3">
      <c r="G190" s="45">
        <f t="shared" si="3"/>
        <v>188</v>
      </c>
      <c r="H190" s="44">
        <f>H189 * (1 + APP_INVEST!$D$23) + APP_INVEST!$D$22</f>
        <v>461545.94094199914</v>
      </c>
      <c r="I190" s="44">
        <f>I189 * (1 + APP_INVEST!$D$25) + APP_INVEST!$D$22</f>
        <v>316405.56505331217</v>
      </c>
      <c r="J190" s="44">
        <f>G190 * APP_INVEST!$D$22</f>
        <v>169200</v>
      </c>
      <c r="K190" s="44">
        <f>J190 / (1 + APP_INVEST!$D$24)^G190</f>
        <v>91526.047854160744</v>
      </c>
    </row>
    <row r="191" spans="7:11" x14ac:dyDescent="0.3">
      <c r="G191" s="45">
        <f t="shared" si="3"/>
        <v>189</v>
      </c>
      <c r="H191" s="44">
        <f>H190 * (1 + APP_INVEST!$D$23) + APP_INVEST!$D$22</f>
        <v>466796.01143537747</v>
      </c>
      <c r="I191" s="44">
        <f>I190 * (1 + APP_INVEST!$D$25) + APP_INVEST!$D$22</f>
        <v>319245.50715268956</v>
      </c>
      <c r="J191" s="44">
        <f>G191 * APP_INVEST!$D$22</f>
        <v>170100</v>
      </c>
      <c r="K191" s="44">
        <f>J191 / (1 + APP_INVEST!$D$24)^G191</f>
        <v>91712.645199117003</v>
      </c>
    </row>
    <row r="192" spans="7:11" x14ac:dyDescent="0.3">
      <c r="G192" s="45">
        <f t="shared" si="3"/>
        <v>190</v>
      </c>
      <c r="H192" s="44">
        <f>H191 * (1 + APP_INVEST!$D$23) + APP_INVEST!$D$22</f>
        <v>472095.56384315592</v>
      </c>
      <c r="I192" s="44">
        <f>I191 * (1 + APP_INVEST!$D$25) + APP_INVEST!$D$22</f>
        <v>322102.86147184711</v>
      </c>
      <c r="J192" s="44">
        <f>G192 * APP_INVEST!$D$22</f>
        <v>171000</v>
      </c>
      <c r="K192" s="44">
        <f>J192 / (1 + APP_INVEST!$D$24)^G192</f>
        <v>91897.050260812059</v>
      </c>
    </row>
    <row r="193" spans="7:11" x14ac:dyDescent="0.3">
      <c r="G193" s="45">
        <f t="shared" si="3"/>
        <v>191</v>
      </c>
      <c r="H193" s="44">
        <f>H192 * (1 + APP_INVEST!$D$23) + APP_INVEST!$D$22</f>
        <v>477445.0645323777</v>
      </c>
      <c r="I193" s="44">
        <f>I192 * (1 + APP_INVEST!$D$25) + APP_INVEST!$D$22</f>
        <v>324977.73476838309</v>
      </c>
      <c r="J193" s="44">
        <f>G193 * APP_INVEST!$D$22</f>
        <v>171900</v>
      </c>
      <c r="K193" s="44">
        <f>J193 / (1 + APP_INVEST!$D$24)^G193</f>
        <v>92079.275359534731</v>
      </c>
    </row>
    <row r="194" spans="7:11" x14ac:dyDescent="0.3">
      <c r="G194" s="45">
        <f t="shared" si="3"/>
        <v>192</v>
      </c>
      <c r="H194" s="44">
        <f>H193 * (1 + APP_INVEST!$D$23) + APP_INVEST!$D$22</f>
        <v>482844.98426559538</v>
      </c>
      <c r="I194" s="44">
        <f>I193 * (1 + APP_INVEST!$D$25) + APP_INVEST!$D$22</f>
        <v>327870.23445444665</v>
      </c>
      <c r="J194" s="44">
        <f>G194 * APP_INVEST!$D$22</f>
        <v>172800</v>
      </c>
      <c r="K194" s="44">
        <f>J194 / (1 + APP_INVEST!$D$24)^G194</f>
        <v>92259.332758512624</v>
      </c>
    </row>
    <row r="195" spans="7:11" x14ac:dyDescent="0.3">
      <c r="G195" s="45">
        <f t="shared" si="3"/>
        <v>193</v>
      </c>
      <c r="H195" s="44">
        <f>H194 * (1 + APP_INVEST!$D$23) + APP_INVEST!$D$22</f>
        <v>488295.79824229865</v>
      </c>
      <c r="I195" s="44">
        <f>I194 * (1 + APP_INVEST!$D$25) + APP_INVEST!$D$22</f>
        <v>330780.46860075108</v>
      </c>
      <c r="J195" s="44">
        <f>G195 * APP_INVEST!$D$22</f>
        <v>173700</v>
      </c>
      <c r="K195" s="44">
        <f>J195 / (1 + APP_INVEST!$D$24)^G195</f>
        <v>92437.23466415338</v>
      </c>
    </row>
    <row r="196" spans="7:11" x14ac:dyDescent="0.3">
      <c r="G196" s="45">
        <f t="shared" ref="G196:G259" si="4">G195+1</f>
        <v>194</v>
      </c>
      <c r="H196" s="44">
        <f>H195 * (1 + APP_INVEST!$D$23) + APP_INVEST!$D$22</f>
        <v>493797.9861407323</v>
      </c>
      <c r="I196" s="44">
        <f>I195 * (1 + APP_INVEST!$D$25) + APP_INVEST!$D$22</f>
        <v>333708.54594061157</v>
      </c>
      <c r="J196" s="44">
        <f>G196 * APP_INVEST!$D$22</f>
        <v>174600</v>
      </c>
      <c r="K196" s="44">
        <f>J196 / (1 + APP_INVEST!$D$24)^G196</f>
        <v>92612.993226284932</v>
      </c>
    </row>
    <row r="197" spans="7:11" x14ac:dyDescent="0.3">
      <c r="G197" s="45">
        <f t="shared" si="4"/>
        <v>195</v>
      </c>
      <c r="H197" s="44">
        <f>H196 * (1 + APP_INVEST!$D$23) + APP_INVEST!$D$22</f>
        <v>499352.03216010873</v>
      </c>
      <c r="I197" s="44">
        <f>I196 * (1 + APP_INVEST!$D$25) + APP_INVEST!$D$22</f>
        <v>336654.57587400777</v>
      </c>
      <c r="J197" s="44">
        <f>G197 * APP_INVEST!$D$22</f>
        <v>175500</v>
      </c>
      <c r="K197" s="44">
        <f>J197 / (1 + APP_INVEST!$D$24)^G197</f>
        <v>92786.620538394665</v>
      </c>
    </row>
    <row r="198" spans="7:11" x14ac:dyDescent="0.3">
      <c r="G198" s="45">
        <f t="shared" si="4"/>
        <v>196</v>
      </c>
      <c r="H198" s="44">
        <f>H197 * (1 + APP_INVEST!$D$23) + APP_INVEST!$D$22</f>
        <v>504958.42506321776</v>
      </c>
      <c r="I198" s="44">
        <f>I197 * (1 + APP_INVEST!$D$25) + APP_INVEST!$D$22</f>
        <v>339618.66847167112</v>
      </c>
      <c r="J198" s="44">
        <f>G198 * APP_INVEST!$D$22</f>
        <v>176400</v>
      </c>
      <c r="K198" s="44">
        <f>J198 / (1 + APP_INVEST!$D$24)^G198</f>
        <v>92958.128637867951</v>
      </c>
    </row>
    <row r="199" spans="7:11" x14ac:dyDescent="0.3">
      <c r="G199" s="45">
        <f t="shared" si="4"/>
        <v>197</v>
      </c>
      <c r="H199" s="44">
        <f>H198 * (1 + APP_INVEST!$D$23) + APP_INVEST!$D$22</f>
        <v>510617.65821943857</v>
      </c>
      <c r="I199" s="44">
        <f>I198 * (1 + APP_INVEST!$D$25) + APP_INVEST!$D$22</f>
        <v>342600.93447919749</v>
      </c>
      <c r="J199" s="44">
        <f>G199 * APP_INVEST!$D$22</f>
        <v>177300</v>
      </c>
      <c r="K199" s="44">
        <f>J199 / (1 + APP_INVEST!$D$24)^G199</f>
        <v>93127.529506225241</v>
      </c>
    </row>
    <row r="200" spans="7:11" x14ac:dyDescent="0.3">
      <c r="G200" s="45">
        <f t="shared" si="4"/>
        <v>198</v>
      </c>
      <c r="H200" s="44">
        <f>H199 * (1 + APP_INVEST!$D$23) + APP_INVEST!$D$22</f>
        <v>516330.22964815679</v>
      </c>
      <c r="I200" s="44">
        <f>I199 * (1 + APP_INVEST!$D$25) + APP_INVEST!$D$22</f>
        <v>345601.48532118485</v>
      </c>
      <c r="J200" s="44">
        <f>G200 * APP_INVEST!$D$22</f>
        <v>178200</v>
      </c>
      <c r="K200" s="44">
        <f>J200 / (1 + APP_INVEST!$D$24)^G200</f>
        <v>93294.835069358727</v>
      </c>
    </row>
    <row r="201" spans="7:11" x14ac:dyDescent="0.3">
      <c r="G201" s="45">
        <f t="shared" si="4"/>
        <v>199</v>
      </c>
      <c r="H201" s="44">
        <f>H200 * (1 + APP_INVEST!$D$23) + APP_INVEST!$D$22</f>
        <v>522096.64206259069</v>
      </c>
      <c r="I201" s="44">
        <f>I200 * (1 + APP_INVEST!$D$25) + APP_INVEST!$D$22</f>
        <v>348620.4331053964</v>
      </c>
      <c r="J201" s="44">
        <f>G201 * APP_INVEST!$D$22</f>
        <v>179100</v>
      </c>
      <c r="K201" s="44">
        <f>J201 / (1 + APP_INVEST!$D$24)^G201</f>
        <v>93460.057197767645</v>
      </c>
    </row>
    <row r="202" spans="7:11" x14ac:dyDescent="0.3">
      <c r="G202" s="45">
        <f t="shared" si="4"/>
        <v>200</v>
      </c>
      <c r="H202" s="44">
        <f>H201 * (1 + APP_INVEST!$D$23) + APP_INVEST!$D$22</f>
        <v>527917.40291403059</v>
      </c>
      <c r="I202" s="44">
        <f>I201 * (1 + APP_INVEST!$D$25) + APP_INVEST!$D$22</f>
        <v>351657.89062694914</v>
      </c>
      <c r="J202" s="44">
        <f>G202 * APP_INVEST!$D$22</f>
        <v>180000</v>
      </c>
      <c r="K202" s="44">
        <f>J202 / (1 + APP_INVEST!$D$24)^G202</f>
        <v>93623.207706792848</v>
      </c>
    </row>
    <row r="203" spans="7:11" x14ac:dyDescent="0.3">
      <c r="G203" s="45">
        <f t="shared" si="4"/>
        <v>201</v>
      </c>
      <c r="H203" s="44">
        <f>H202 * (1 + APP_INVEST!$D$23) + APP_INVEST!$D$22</f>
        <v>533793.02443649538</v>
      </c>
      <c r="I203" s="44">
        <f>I202 * (1 + APP_INVEST!$D$25) + APP_INVEST!$D$22</f>
        <v>354713.97137252806</v>
      </c>
      <c r="J203" s="44">
        <f>G203 * APP_INVEST!$D$22</f>
        <v>180900</v>
      </c>
      <c r="K203" s="44">
        <f>J203 / (1 + APP_INVEST!$D$24)^G203</f>
        <v>93784.29835685037</v>
      </c>
    </row>
    <row r="204" spans="7:11" x14ac:dyDescent="0.3">
      <c r="G204" s="45">
        <f t="shared" si="4"/>
        <v>202</v>
      </c>
      <c r="H204" s="44">
        <f>H203 * (1 + APP_INVEST!$D$23) + APP_INVEST!$D$22</f>
        <v>539724.02369180939</v>
      </c>
      <c r="I204" s="44">
        <f>I203 * (1 + APP_INVEST!$D$25) + APP_INVEST!$D$22</f>
        <v>357788.78952462651</v>
      </c>
      <c r="J204" s="44">
        <f>G204 * APP_INVEST!$D$22</f>
        <v>181800</v>
      </c>
      <c r="K204" s="44">
        <f>J204 / (1 + APP_INVEST!$D$24)^G204</f>
        <v>93943.340853664122</v>
      </c>
    </row>
    <row r="205" spans="7:11" x14ac:dyDescent="0.3">
      <c r="G205" s="45">
        <f t="shared" si="4"/>
        <v>203</v>
      </c>
      <c r="H205" s="44">
        <f>H204 * (1 + APP_INVEST!$D$23) + APP_INVEST!$D$22</f>
        <v>545710.9226151047</v>
      </c>
      <c r="I205" s="44">
        <f>I204 * (1 + APP_INVEST!$D$25) + APP_INVEST!$D$22</f>
        <v>360882.45996581216</v>
      </c>
      <c r="J205" s="44">
        <f>G205 * APP_INVEST!$D$22</f>
        <v>182700</v>
      </c>
      <c r="K205" s="44">
        <f>J205 / (1 + APP_INVEST!$D$24)^G205</f>
        <v>94100.346848497487</v>
      </c>
    </row>
    <row r="206" spans="7:11" x14ac:dyDescent="0.3">
      <c r="G206" s="45">
        <f t="shared" si="4"/>
        <v>204</v>
      </c>
      <c r="H206" s="44">
        <f>H205 * (1 + APP_INVEST!$D$23) + APP_INVEST!$D$22</f>
        <v>551754.24806075206</v>
      </c>
      <c r="I206" s="44">
        <f>I205 * (1 + APP_INVEST!$D$25) + APP_INVEST!$D$22</f>
        <v>363995.09828301938</v>
      </c>
      <c r="J206" s="44">
        <f>G206 * APP_INVEST!$D$22</f>
        <v>183600</v>
      </c>
      <c r="K206" s="44">
        <f>J206 / (1 + APP_INVEST!$D$24)^G206</f>
        <v>94255.327938384245</v>
      </c>
    </row>
    <row r="207" spans="7:11" x14ac:dyDescent="0.3">
      <c r="G207" s="45">
        <f t="shared" si="4"/>
        <v>205</v>
      </c>
      <c r="H207" s="44">
        <f>H206 * (1 + APP_INVEST!$D$23) + APP_INVEST!$D$22</f>
        <v>557854.5318487247</v>
      </c>
      <c r="I207" s="44">
        <f>I206 * (1 + APP_INVEST!$D$25) + APP_INVEST!$D$22</f>
        <v>367126.8207718677</v>
      </c>
      <c r="J207" s="44">
        <f>G207 * APP_INVEST!$D$22</f>
        <v>184500</v>
      </c>
      <c r="K207" s="44">
        <f>J207 / (1 + APP_INVEST!$D$24)^G207</f>
        <v>94408.295666358288</v>
      </c>
    </row>
    <row r="208" spans="7:11" x14ac:dyDescent="0.3">
      <c r="G208" s="45">
        <f t="shared" si="4"/>
        <v>206</v>
      </c>
      <c r="H208" s="44">
        <f>H207 * (1 + APP_INVEST!$D$23) + APP_INVEST!$D$22</f>
        <v>564012.3108113989</v>
      </c>
      <c r="I208" s="44">
        <f>I207 * (1 + APP_INVEST!$D$25) + APP_INVEST!$D$22</f>
        <v>370277.74444100709</v>
      </c>
      <c r="J208" s="44">
        <f>G208 * APP_INVEST!$D$22</f>
        <v>185400</v>
      </c>
      <c r="K208" s="44">
        <f>J208 / (1 + APP_INVEST!$D$24)^G208</f>
        <v>94559.261521682609</v>
      </c>
    </row>
    <row r="209" spans="7:11" x14ac:dyDescent="0.3">
      <c r="G209" s="45">
        <f t="shared" si="4"/>
        <v>207</v>
      </c>
      <c r="H209" s="44">
        <f>H208 * (1 + APP_INVEST!$D$23) + APP_INVEST!$D$22</f>
        <v>570228.12684079632</v>
      </c>
      <c r="I209" s="44">
        <f>I208 * (1 + APP_INVEST!$D$25) + APP_INVEST!$D$22</f>
        <v>373447.98701648955</v>
      </c>
      <c r="J209" s="44">
        <f>G209 * APP_INVEST!$D$22</f>
        <v>186300</v>
      </c>
      <c r="K209" s="44">
        <f>J209 / (1 + APP_INVEST!$D$24)^G209</f>
        <v>94708.236940077346</v>
      </c>
    </row>
    <row r="210" spans="7:11" x14ac:dyDescent="0.3">
      <c r="G210" s="45">
        <f t="shared" si="4"/>
        <v>208</v>
      </c>
      <c r="H210" s="44">
        <f>H209 * (1 + APP_INVEST!$D$23) + APP_INVEST!$D$22</f>
        <v>576502.52693627088</v>
      </c>
      <c r="I210" s="44">
        <f>I209 * (1 + APP_INVEST!$D$25) + APP_INVEST!$D$22</f>
        <v>376637.66694616765</v>
      </c>
      <c r="J210" s="44">
        <f>G210 * APP_INVEST!$D$22</f>
        <v>187200</v>
      </c>
      <c r="K210" s="44">
        <f>J210 / (1 + APP_INVEST!$D$24)^G210</f>
        <v>94855.233303946821</v>
      </c>
    </row>
    <row r="211" spans="7:11" x14ac:dyDescent="0.3">
      <c r="G211" s="45">
        <f t="shared" si="4"/>
        <v>209</v>
      </c>
      <c r="H211" s="44">
        <f>H210 * (1 + APP_INVEST!$D$23) + APP_INVEST!$D$22</f>
        <v>582836.0632526452</v>
      </c>
      <c r="I211" s="44">
        <f>I210 * (1 + APP_INVEST!$D$25) + APP_INVEST!$D$22</f>
        <v>379846.90340412012</v>
      </c>
      <c r="J211" s="44">
        <f>G211 * APP_INVEST!$D$22</f>
        <v>188100</v>
      </c>
      <c r="K211" s="44">
        <f>J211 / (1 + APP_INVEST!$D$24)^G211</f>
        <v>95000.261942605735</v>
      </c>
    </row>
    <row r="212" spans="7:11" x14ac:dyDescent="0.3">
      <c r="G212" s="45">
        <f t="shared" si="4"/>
        <v>210</v>
      </c>
      <c r="H212" s="44">
        <f>H211 * (1 + APP_INVEST!$D$23) + APP_INVEST!$D$22</f>
        <v>589229.29314880143</v>
      </c>
      <c r="I212" s="44">
        <f>I211 * (1 + APP_INVEST!$D$25) + APP_INVEST!$D$22</f>
        <v>383075.81629510428</v>
      </c>
      <c r="J212" s="44">
        <f>G212 * APP_INVEST!$D$22</f>
        <v>189000</v>
      </c>
      <c r="K212" s="44">
        <f>J212 / (1 + APP_INVEST!$D$24)^G212</f>
        <v>95143.334132504489</v>
      </c>
    </row>
    <row r="213" spans="7:11" x14ac:dyDescent="0.3">
      <c r="G213" s="45">
        <f t="shared" si="4"/>
        <v>211</v>
      </c>
      <c r="H213" s="44">
        <f>H212 * (1 + APP_INVEST!$D$23) + APP_INVEST!$D$22</f>
        <v>595682.77923672891</v>
      </c>
      <c r="I213" s="44">
        <f>I212 * (1 + APP_INVEST!$D$25) + APP_INVEST!$D$22</f>
        <v>386324.52625903621</v>
      </c>
      <c r="J213" s="44">
        <f>G213 * APP_INVEST!$D$22</f>
        <v>189900</v>
      </c>
      <c r="K213" s="44">
        <f>J213 / (1 + APP_INVEST!$D$24)^G213</f>
        <v>95284.46109745343</v>
      </c>
    </row>
    <row r="214" spans="7:11" x14ac:dyDescent="0.3">
      <c r="G214" s="45">
        <f t="shared" si="4"/>
        <v>212</v>
      </c>
      <c r="H214" s="44">
        <f>H213 * (1 + APP_INVEST!$D$23) + APP_INVEST!$D$22</f>
        <v>602197.0894310351</v>
      </c>
      <c r="I214" s="44">
        <f>I213 * (1 + APP_INVEST!$D$25) + APP_INVEST!$D$22</f>
        <v>389593.15467549802</v>
      </c>
      <c r="J214" s="44">
        <f>G214 * APP_INVEST!$D$22</f>
        <v>190800</v>
      </c>
      <c r="K214" s="44">
        <f>J214 / (1 + APP_INVEST!$D$24)^G214</f>
        <v>95423.654008846497</v>
      </c>
    </row>
    <row r="215" spans="7:11" x14ac:dyDescent="0.3">
      <c r="G215" s="45">
        <f t="shared" si="4"/>
        <v>213</v>
      </c>
      <c r="H215" s="44">
        <f>H214 * (1 + APP_INVEST!$D$23) + APP_INVEST!$D$22</f>
        <v>608772.7969989226</v>
      </c>
      <c r="I215" s="44">
        <f>I214 * (1 + APP_INVEST!$D$25) + APP_INVEST!$D$22</f>
        <v>392881.82366827287</v>
      </c>
      <c r="J215" s="44">
        <f>G215 * APP_INVEST!$D$22</f>
        <v>191700</v>
      </c>
      <c r="K215" s="44">
        <f>J215 / (1 + APP_INVEST!$D$24)^G215</f>
        <v>95560.923985883652</v>
      </c>
    </row>
    <row r="216" spans="7:11" x14ac:dyDescent="0.3">
      <c r="G216" s="45">
        <f t="shared" si="4"/>
        <v>214</v>
      </c>
      <c r="H216" s="44">
        <f>H215 * (1 + APP_INVEST!$D$23) + APP_INVEST!$D$22</f>
        <v>615410.48061063746</v>
      </c>
      <c r="I216" s="44">
        <f>I215 * (1 + APP_INVEST!$D$25) + APP_INVEST!$D$22</f>
        <v>396190.65610990778</v>
      </c>
      <c r="J216" s="44">
        <f>G216 * APP_INVEST!$D$22</f>
        <v>192600</v>
      </c>
      <c r="K216" s="44">
        <f>J216 / (1 + APP_INVEST!$D$24)^G216</f>
        <v>95696.282095792616</v>
      </c>
    </row>
    <row r="217" spans="7:11" x14ac:dyDescent="0.3">
      <c r="G217" s="45">
        <f t="shared" si="4"/>
        <v>215</v>
      </c>
      <c r="H217" s="44">
        <f>H216 * (1 + APP_INVEST!$D$23) + APP_INVEST!$D$22</f>
        <v>622110.72439039277</v>
      </c>
      <c r="I217" s="44">
        <f>I216 * (1 + APP_INVEST!$D$25) + APP_INVEST!$D$22</f>
        <v>399519.77562630462</v>
      </c>
      <c r="J217" s="44">
        <f>G217 * APP_INVEST!$D$22</f>
        <v>193500</v>
      </c>
      <c r="K217" s="44">
        <f>J217 / (1 + APP_INVEST!$D$24)^G217</f>
        <v>95829.739354049569</v>
      </c>
    </row>
    <row r="218" spans="7:11" x14ac:dyDescent="0.3">
      <c r="G218" s="45">
        <f t="shared" si="4"/>
        <v>216</v>
      </c>
      <c r="H218" s="44">
        <f>H217 * (1 + APP_INVEST!$D$23) + APP_INVEST!$D$22</f>
        <v>628874.11796777218</v>
      </c>
      <c r="I218" s="44">
        <f>I217 * (1 + APP_INVEST!$D$25) + APP_INVEST!$D$22</f>
        <v>402869.30660133879</v>
      </c>
      <c r="J218" s="44">
        <f>G218 * APP_INVEST!$D$22</f>
        <v>194400</v>
      </c>
      <c r="K218" s="44">
        <f>J218 / (1 + APP_INVEST!$D$24)^G218</f>
        <v>95961.306724599301</v>
      </c>
    </row>
    <row r="219" spans="7:11" x14ac:dyDescent="0.3">
      <c r="G219" s="45">
        <f t="shared" si="4"/>
        <v>217</v>
      </c>
      <c r="H219" s="44">
        <f>H218 * (1 + APP_INVEST!$D$23) + APP_INVEST!$D$22</f>
        <v>635701.2565296184</v>
      </c>
      <c r="I219" s="44">
        <f>I218 * (1 + APP_INVEST!$D$25) + APP_INVEST!$D$22</f>
        <v>406239.37418150675</v>
      </c>
      <c r="J219" s="44">
        <f>G219 * APP_INVEST!$D$22</f>
        <v>195300</v>
      </c>
      <c r="K219" s="44">
        <f>J219 / (1 + APP_INVEST!$D$24)^G219</f>
        <v>96090.9951200738</v>
      </c>
    </row>
    <row r="220" spans="7:11" x14ac:dyDescent="0.3">
      <c r="G220" s="45">
        <f t="shared" si="4"/>
        <v>218</v>
      </c>
      <c r="H220" s="44">
        <f>H219 * (1 + APP_INVEST!$D$23) + APP_INVEST!$D$22</f>
        <v>642592.74087241013</v>
      </c>
      <c r="I220" s="44">
        <f>I219 * (1 + APP_INVEST!$D$25) + APP_INVEST!$D$22</f>
        <v>409630.10428060172</v>
      </c>
      <c r="J220" s="44">
        <f>G220 * APP_INVEST!$D$22</f>
        <v>196200</v>
      </c>
      <c r="K220" s="44">
        <f>J220 / (1 + APP_INVEST!$D$24)^G220</f>
        <v>96218.815402010834</v>
      </c>
    </row>
    <row r="221" spans="7:11" x14ac:dyDescent="0.3">
      <c r="G221" s="45">
        <f t="shared" si="4"/>
        <v>219</v>
      </c>
      <c r="H221" s="44">
        <f>H220 * (1 + APP_INVEST!$D$23) + APP_INVEST!$D$22</f>
        <v>649549.17745513259</v>
      </c>
      <c r="I221" s="44">
        <f>I220 * (1 + APP_INVEST!$D$25) + APP_INVEST!$D$22</f>
        <v>413041.62358441798</v>
      </c>
      <c r="J221" s="44">
        <f>G221 * APP_INVEST!$D$22</f>
        <v>197100</v>
      </c>
      <c r="K221" s="44">
        <f>J221 / (1 + APP_INVEST!$D$24)^G221</f>
        <v>96344.778381070835</v>
      </c>
    </row>
    <row r="222" spans="7:11" x14ac:dyDescent="0.3">
      <c r="G222" s="45">
        <f t="shared" si="4"/>
        <v>220</v>
      </c>
      <c r="H222" s="44">
        <f>H221 * (1 + APP_INVEST!$D$23) + APP_INVEST!$D$22</f>
        <v>656571.17845264717</v>
      </c>
      <c r="I222" s="44">
        <f>I221 * (1 + APP_INVEST!$D$25) + APP_INVEST!$D$22</f>
        <v>416474.05955548439</v>
      </c>
      <c r="J222" s="44">
        <f>G222 * APP_INVEST!$D$22</f>
        <v>198000</v>
      </c>
      <c r="K222" s="44">
        <f>J222 / (1 + APP_INVEST!$D$24)^G222</f>
        <v>96468.894817253575</v>
      </c>
    </row>
    <row r="223" spans="7:11" x14ac:dyDescent="0.3">
      <c r="G223" s="45">
        <f t="shared" si="4"/>
        <v>221</v>
      </c>
      <c r="H223" s="44">
        <f>H222 * (1 + APP_INVEST!$D$23) + APP_INVEST!$D$22</f>
        <v>663659.36180956336</v>
      </c>
      <c r="I223" s="44">
        <f>I222 * (1 + APP_INVEST!$D$25) + APP_INVEST!$D$22</f>
        <v>419927.54043782654</v>
      </c>
      <c r="J223" s="44">
        <f>G223 * APP_INVEST!$D$22</f>
        <v>198900</v>
      </c>
      <c r="K223" s="44">
        <f>J223 / (1 + APP_INVEST!$D$24)^G223</f>
        <v>96591.175420113446</v>
      </c>
    </row>
    <row r="224" spans="7:11" x14ac:dyDescent="0.3">
      <c r="G224" s="45">
        <f t="shared" si="4"/>
        <v>222</v>
      </c>
      <c r="H224" s="44">
        <f>H223 * (1 + APP_INVEST!$D$23) + APP_INVEST!$D$22</f>
        <v>670814.35129461845</v>
      </c>
      <c r="I224" s="44">
        <f>I223 * (1 + APP_INVEST!$D$25) + APP_INVEST!$D$22</f>
        <v>423402.19526175823</v>
      </c>
      <c r="J224" s="44">
        <f>G224 * APP_INVEST!$D$22</f>
        <v>199800</v>
      </c>
      <c r="K224" s="44">
        <f>J224 / (1 + APP_INVEST!$D$24)^G224</f>
        <v>96711.630848974281</v>
      </c>
    </row>
    <row r="225" spans="7:11" x14ac:dyDescent="0.3">
      <c r="G225" s="45">
        <f t="shared" si="4"/>
        <v>223</v>
      </c>
      <c r="H225" s="44">
        <f>H224 * (1 + APP_INVEST!$D$23) + APP_INVEST!$D$22</f>
        <v>678036.77655557019</v>
      </c>
      <c r="I225" s="44">
        <f>I224 * (1 + APP_INVEST!$D$25) + APP_INVEST!$D$22</f>
        <v>426898.1538487025</v>
      </c>
      <c r="J225" s="44">
        <f>G225 * APP_INVEST!$D$22</f>
        <v>200700</v>
      </c>
      <c r="K225" s="44">
        <f>J225 / (1 + APP_INVEST!$D$24)^G225</f>
        <v>96830.271713142996</v>
      </c>
    </row>
    <row r="226" spans="7:11" x14ac:dyDescent="0.3">
      <c r="G226" s="45">
        <f t="shared" si="4"/>
        <v>224</v>
      </c>
      <c r="H226" s="44">
        <f>H225 * (1 + APP_INVEST!$D$23) + APP_INVEST!$D$22</f>
        <v>685327.2731746065</v>
      </c>
      <c r="I226" s="44">
        <f>I225 * (1 + APP_INVEST!$D$25) + APP_INVEST!$D$22</f>
        <v>430415.54681604187</v>
      </c>
      <c r="J226" s="44">
        <f>G226 * APP_INVEST!$D$22</f>
        <v>201600</v>
      </c>
      <c r="K226" s="44">
        <f>J226 / (1 + APP_INVEST!$D$24)^G226</f>
        <v>96947.108572122655</v>
      </c>
    </row>
    <row r="227" spans="7:11" x14ac:dyDescent="0.3">
      <c r="G227" s="45">
        <f t="shared" si="4"/>
        <v>225</v>
      </c>
      <c r="H227" s="44">
        <f>H226 * (1 + APP_INVEST!$D$23) + APP_INVEST!$D$22</f>
        <v>692686.48272427719</v>
      </c>
      <c r="I227" s="44">
        <f>I226 * (1 + APP_INVEST!$D$25) + APP_INVEST!$D$22</f>
        <v>433954.50558199873</v>
      </c>
      <c r="J227" s="44">
        <f>G227 * APP_INVEST!$D$22</f>
        <v>202500</v>
      </c>
      <c r="K227" s="44">
        <f>J227 / (1 + APP_INVEST!$D$24)^G227</f>
        <v>97062.151935824339</v>
      </c>
    </row>
    <row r="228" spans="7:11" x14ac:dyDescent="0.3">
      <c r="G228" s="45">
        <f t="shared" si="4"/>
        <v>226</v>
      </c>
      <c r="H228" s="44">
        <f>H227 * (1 + APP_INVEST!$D$23) + APP_INVEST!$D$22</f>
        <v>700115.05282395356</v>
      </c>
      <c r="I228" s="44">
        <f>I227 * (1 + APP_INVEST!$D$25) + APP_INVEST!$D$22</f>
        <v>437515.16237054532</v>
      </c>
      <c r="J228" s="44">
        <f>G228 * APP_INVEST!$D$22</f>
        <v>203400</v>
      </c>
      <c r="K228" s="44">
        <f>J228 / (1 + APP_INVEST!$D$24)^G228</f>
        <v>97175.41226477857</v>
      </c>
    </row>
    <row r="229" spans="7:11" x14ac:dyDescent="0.3">
      <c r="G229" s="45">
        <f t="shared" si="4"/>
        <v>227</v>
      </c>
      <c r="H229" s="44">
        <f>H228 * (1 + APP_INVEST!$D$23) + APP_INVEST!$D$22</f>
        <v>707613.6371968193</v>
      </c>
      <c r="I229" s="44">
        <f>I228 * (1 + APP_INVEST!$D$25) + APP_INVEST!$D$22</f>
        <v>441097.65021634393</v>
      </c>
      <c r="J229" s="44">
        <f>G229 * APP_INVEST!$D$22</f>
        <v>204300</v>
      </c>
      <c r="K229" s="44">
        <f>J229 / (1 + APP_INVEST!$D$24)^G229</f>
        <v>97286.899970345461</v>
      </c>
    </row>
    <row r="230" spans="7:11" x14ac:dyDescent="0.3">
      <c r="G230" s="45">
        <f t="shared" si="4"/>
        <v>228</v>
      </c>
      <c r="H230" s="44">
        <f>H229 * (1 + APP_INVEST!$D$23) + APP_INVEST!$D$22</f>
        <v>715182.89572739939</v>
      </c>
      <c r="I230" s="44">
        <f>I229 * (1 + APP_INVEST!$D$25) + APP_INVEST!$D$22</f>
        <v>444702.10296971741</v>
      </c>
      <c r="J230" s="44">
        <f>G230 * APP_INVEST!$D$22</f>
        <v>205200</v>
      </c>
      <c r="K230" s="44">
        <f>J230 / (1 + APP_INVEST!$D$24)^G230</f>
        <v>97396.625414924434</v>
      </c>
    </row>
    <row r="231" spans="7:11" x14ac:dyDescent="0.3">
      <c r="G231" s="45">
        <f t="shared" si="4"/>
        <v>229</v>
      </c>
      <c r="H231" s="44">
        <f>H230 * (1 + APP_INVEST!$D$23) + APP_INVEST!$D$22</f>
        <v>722823.4945196301</v>
      </c>
      <c r="I231" s="44">
        <f>I230 * (1 + APP_INVEST!$D$25) + APP_INVEST!$D$22</f>
        <v>448328.65530165017</v>
      </c>
      <c r="J231" s="44">
        <f>G231 * APP_INVEST!$D$22</f>
        <v>206100</v>
      </c>
      <c r="K231" s="44">
        <f>J231 / (1 + APP_INVEST!$D$24)^G231</f>
        <v>97504.598912162764</v>
      </c>
    </row>
    <row r="232" spans="7:11" x14ac:dyDescent="0.3">
      <c r="G232" s="45">
        <f t="shared" si="4"/>
        <v>230</v>
      </c>
      <c r="H232" s="44">
        <f>H231 * (1 + APP_INVEST!$D$23) + APP_INVEST!$D$22</f>
        <v>730536.10595547757</v>
      </c>
      <c r="I232" s="44">
        <f>I231 * (1 + APP_INVEST!$D$25) + APP_INVEST!$D$22</f>
        <v>451977.44270881976</v>
      </c>
      <c r="J232" s="44">
        <f>G232 * APP_INVEST!$D$22</f>
        <v>207000</v>
      </c>
      <c r="K232" s="44">
        <f>J232 / (1 + APP_INVEST!$D$24)^G232</f>
        <v>97610.830727163353</v>
      </c>
    </row>
    <row r="233" spans="7:11" x14ac:dyDescent="0.3">
      <c r="G233" s="45">
        <f t="shared" si="4"/>
        <v>231</v>
      </c>
      <c r="H233" s="44">
        <f>H232 * (1 + APP_INVEST!$D$23) + APP_INVEST!$D$22</f>
        <v>738321.40875410801</v>
      </c>
      <c r="I233" s="44">
        <f>I232 * (1 + APP_INVEST!$D$25) + APP_INVEST!$D$22</f>
        <v>455648.60151865939</v>
      </c>
      <c r="J233" s="44">
        <f>G233 * APP_INVEST!$D$22</f>
        <v>207900</v>
      </c>
      <c r="K233" s="44">
        <f>J233 / (1 + APP_INVEST!$D$24)^G233</f>
        <v>97715.331076691888</v>
      </c>
    </row>
    <row r="234" spans="7:11" x14ac:dyDescent="0.3">
      <c r="G234" s="45">
        <f t="shared" si="4"/>
        <v>232</v>
      </c>
      <c r="H234" s="44">
        <f>H233 * (1 + APP_INVEST!$D$23) + APP_INVEST!$D$22</f>
        <v>746180.08803161548</v>
      </c>
      <c r="I234" s="44">
        <f>I233 * (1 + APP_INVEST!$D$25) + APP_INVEST!$D$22</f>
        <v>459342.26889445144</v>
      </c>
      <c r="J234" s="44">
        <f>G234 * APP_INVEST!$D$22</f>
        <v>208800</v>
      </c>
      <c r="K234" s="44">
        <f>J234 / (1 + APP_INVEST!$D$24)^G234</f>
        <v>97818.110129382927</v>
      </c>
    </row>
    <row r="235" spans="7:11" x14ac:dyDescent="0.3">
      <c r="G235" s="45">
        <f t="shared" si="4"/>
        <v>233</v>
      </c>
      <c r="H235" s="44">
        <f>H234 * (1 + APP_INVEST!$D$23) + APP_INVEST!$D$22</f>
        <v>754112.83536131342</v>
      </c>
      <c r="I235" s="44">
        <f>I234 * (1 + APP_INVEST!$D$25) + APP_INVEST!$D$22</f>
        <v>463058.58284045215</v>
      </c>
      <c r="J235" s="44">
        <f>G235 * APP_INVEST!$D$22</f>
        <v>209700</v>
      </c>
      <c r="K235" s="44">
        <f>J235 / (1 + APP_INVEST!$D$24)^G235</f>
        <v>97919.178005945098</v>
      </c>
    </row>
    <row r="236" spans="7:11" x14ac:dyDescent="0.3">
      <c r="G236" s="45">
        <f t="shared" si="4"/>
        <v>234</v>
      </c>
      <c r="H236" s="44">
        <f>H235 * (1 + APP_INVEST!$D$23) + APP_INVEST!$D$22</f>
        <v>762120.34883459378</v>
      </c>
      <c r="I236" s="44">
        <f>I235 * (1 + APP_INVEST!$D$25) + APP_INVEST!$D$22</f>
        <v>466797.68220704788</v>
      </c>
      <c r="J236" s="44">
        <f>G236 * APP_INVEST!$D$22</f>
        <v>210600</v>
      </c>
      <c r="K236" s="44">
        <f>J236 / (1 + APP_INVEST!$D$24)^G236</f>
        <v>98018.54477936578</v>
      </c>
    </row>
    <row r="237" spans="7:11" x14ac:dyDescent="0.3">
      <c r="G237" s="45">
        <f t="shared" si="4"/>
        <v>235</v>
      </c>
      <c r="H237" s="44">
        <f>H236 * (1 + APP_INVEST!$D$23) + APP_INVEST!$D$22</f>
        <v>770203.33312235982</v>
      </c>
      <c r="I237" s="44">
        <f>I236 * (1 + APP_INVEST!$D$25) + APP_INVEST!$D$22</f>
        <v>470559.70669594291</v>
      </c>
      <c r="J237" s="44">
        <f>G237 * APP_INVEST!$D$22</f>
        <v>211500</v>
      </c>
      <c r="K237" s="44">
        <f>J237 / (1 + APP_INVEST!$D$24)^G237</f>
        <v>98116.220475114664</v>
      </c>
    </row>
    <row r="238" spans="7:11" x14ac:dyDescent="0.3">
      <c r="G238" s="45">
        <f t="shared" si="4"/>
        <v>236</v>
      </c>
      <c r="H238" s="44">
        <f>H237 * (1 + APP_INVEST!$D$23) + APP_INVEST!$D$22</f>
        <v>778362.49953703803</v>
      </c>
      <c r="I238" s="44">
        <f>I237 * (1 + APP_INVEST!$D$25) + APP_INVEST!$D$22</f>
        <v>474344.79686537886</v>
      </c>
      <c r="J238" s="44">
        <f>G238 * APP_INVEST!$D$22</f>
        <v>212400</v>
      </c>
      <c r="K238" s="44">
        <f>J238 / (1 + APP_INVEST!$D$24)^G238</f>
        <v>98212.215071346727</v>
      </c>
    </row>
    <row r="239" spans="7:11" x14ac:dyDescent="0.3">
      <c r="G239" s="45">
        <f t="shared" si="4"/>
        <v>237</v>
      </c>
      <c r="H239" s="44">
        <f>H238 * (1 + APP_INVEST!$D$23) + APP_INVEST!$D$22</f>
        <v>786598.56609517464</v>
      </c>
      <c r="I239" s="44">
        <f>I238 * (1 + APP_INVEST!$D$25) + APP_INVEST!$D$22</f>
        <v>478153.09413538646</v>
      </c>
      <c r="J239" s="44">
        <f>G239 * APP_INVEST!$D$22</f>
        <v>213300</v>
      </c>
      <c r="K239" s="44">
        <f>J239 / (1 + APP_INVEST!$D$24)^G239</f>
        <v>98306.538499104106</v>
      </c>
    </row>
    <row r="240" spans="7:11" x14ac:dyDescent="0.3">
      <c r="G240" s="45">
        <f t="shared" si="4"/>
        <v>238</v>
      </c>
      <c r="H240" s="44">
        <f>H239 * (1 + APP_INVEST!$D$23) + APP_INVEST!$D$22</f>
        <v>794912.25758062163</v>
      </c>
      <c r="I240" s="44">
        <f>I239 * (1 + APP_INVEST!$D$25) + APP_INVEST!$D$22</f>
        <v>481984.7407930693</v>
      </c>
      <c r="J240" s="44">
        <f>G240 * APP_INVEST!$D$22</f>
        <v>214200</v>
      </c>
      <c r="K240" s="44">
        <f>J240 / (1 + APP_INVEST!$D$24)^G240</f>
        <v>98399.20064251736</v>
      </c>
    </row>
    <row r="241" spans="7:11" x14ac:dyDescent="0.3">
      <c r="G241" s="45">
        <f t="shared" si="4"/>
        <v>239</v>
      </c>
      <c r="H241" s="44">
        <f>H240 * (1 + APP_INVEST!$D$23) + APP_INVEST!$D$22</f>
        <v>803304.305608319</v>
      </c>
      <c r="I241" s="44">
        <f>I240 * (1 + APP_INVEST!$D$25) + APP_INVEST!$D$22</f>
        <v>485839.87999792001</v>
      </c>
      <c r="J241" s="44">
        <f>G241 * APP_INVEST!$D$22</f>
        <v>215100</v>
      </c>
      <c r="K241" s="44">
        <f>J241 / (1 + APP_INVEST!$D$24)^G241</f>
        <v>98490.211339006069</v>
      </c>
    </row>
    <row r="242" spans="7:11" x14ac:dyDescent="0.3">
      <c r="G242" s="45">
        <f t="shared" si="4"/>
        <v>240</v>
      </c>
      <c r="H242" s="44">
        <f>H241 * (1 + APP_INVEST!$D$23) + APP_INVEST!$D$22</f>
        <v>811775.4486886774</v>
      </c>
      <c r="I242" s="44">
        <f>I241 * (1 + APP_INVEST!$D$25) + APP_INVEST!$D$22</f>
        <v>489718.65578716894</v>
      </c>
      <c r="J242" s="44">
        <f>G242 * APP_INVEST!$D$22</f>
        <v>216000</v>
      </c>
      <c r="K242" s="44">
        <f>J242 / (1 + APP_INVEST!$D$24)^G242</f>
        <v>98579.580379478124</v>
      </c>
    </row>
    <row r="243" spans="7:11" x14ac:dyDescent="0.3">
      <c r="G243" s="45">
        <f t="shared" si="4"/>
        <v>241</v>
      </c>
      <c r="H243" s="44">
        <f>H242 * (1 + APP_INVEST!$D$23) + APP_INVEST!$D$22</f>
        <v>820326.43229256815</v>
      </c>
      <c r="I243" s="44">
        <f>I242 * (1 + APP_INVEST!$D$25) + APP_INVEST!$D$22</f>
        <v>493621.21308116586</v>
      </c>
      <c r="J243" s="44">
        <f>G243 * APP_INVEST!$D$22</f>
        <v>216900</v>
      </c>
      <c r="K243" s="44">
        <f>J243 / (1 + APP_INVEST!$D$24)^G243</f>
        <v>98667.317508528766</v>
      </c>
    </row>
    <row r="244" spans="7:11" x14ac:dyDescent="0.3">
      <c r="G244" s="45">
        <f t="shared" si="4"/>
        <v>242</v>
      </c>
      <c r="H244" s="44">
        <f>H243 * (1 + APP_INVEST!$D$23) + APP_INVEST!$D$22</f>
        <v>828958.00891692564</v>
      </c>
      <c r="I244" s="44">
        <f>I243 * (1 + APP_INVEST!$D$25) + APP_INVEST!$D$22</f>
        <v>497547.69768879452</v>
      </c>
      <c r="J244" s="44">
        <f>G244 * APP_INVEST!$D$22</f>
        <v>217800</v>
      </c>
      <c r="K244" s="44">
        <f>J244 / (1 + APP_INVEST!$D$24)^G244</f>
        <v>98753.432424638449</v>
      </c>
    </row>
    <row r="245" spans="7:11" x14ac:dyDescent="0.3">
      <c r="G245" s="45">
        <f t="shared" si="4"/>
        <v>243</v>
      </c>
      <c r="H245" s="44">
        <f>H244 * (1 + APP_INVEST!$D$23) + APP_INVEST!$D$22</f>
        <v>837670.9381509677</v>
      </c>
      <c r="I245" s="44">
        <f>I244 * (1 + APP_INVEST!$D$25) + APP_INVEST!$D$22</f>
        <v>501498.25631292036</v>
      </c>
      <c r="J245" s="44">
        <f>G245 * APP_INVEST!$D$22</f>
        <v>218700</v>
      </c>
      <c r="K245" s="44">
        <f>J245 / (1 + APP_INVEST!$D$24)^G245</f>
        <v>98837.934780370153</v>
      </c>
    </row>
    <row r="246" spans="7:11" x14ac:dyDescent="0.3">
      <c r="G246" s="45">
        <f t="shared" si="4"/>
        <v>244</v>
      </c>
      <c r="H246" s="44">
        <f>H245 * (1 + APP_INVEST!$D$23) + APP_INVEST!$D$22</f>
        <v>846465.98674304062</v>
      </c>
      <c r="I246" s="44">
        <f>I245 * (1 + APP_INVEST!$D$25) + APP_INVEST!$D$22</f>
        <v>505473.03655587172</v>
      </c>
      <c r="J246" s="44">
        <f>G246 * APP_INVEST!$D$22</f>
        <v>219600</v>
      </c>
      <c r="K246" s="44">
        <f>J246 / (1 + APP_INVEST!$D$24)^G246</f>
        <v>98920.834182565581</v>
      </c>
    </row>
    <row r="247" spans="7:11" x14ac:dyDescent="0.3">
      <c r="G247" s="45">
        <f t="shared" si="4"/>
        <v>245</v>
      </c>
      <c r="H247" s="44">
        <f>H246 * (1 + APP_INVEST!$D$23) + APP_INVEST!$D$22</f>
        <v>855343.92866809375</v>
      </c>
      <c r="I247" s="44">
        <f>I246 * (1 + APP_INVEST!$D$25) + APP_INVEST!$D$22</f>
        <v>509472.18692495464</v>
      </c>
      <c r="J247" s="44">
        <f>G247 * APP_INVEST!$D$22</f>
        <v>220500</v>
      </c>
      <c r="K247" s="44">
        <f>J247 / (1 + APP_INVEST!$D$24)^G247</f>
        <v>99002.140192541003</v>
      </c>
    </row>
    <row r="248" spans="7:11" x14ac:dyDescent="0.3">
      <c r="G248" s="45">
        <f t="shared" si="4"/>
        <v>246</v>
      </c>
      <c r="H248" s="44">
        <f>H247 * (1 + APP_INVEST!$D$23) + APP_INVEST!$D$22</f>
        <v>864305.54519579059</v>
      </c>
      <c r="I248" s="44">
        <f>I247 * (1 + APP_INVEST!$D$25) + APP_INVEST!$D$22</f>
        <v>513495.8568380014</v>
      </c>
      <c r="J248" s="44">
        <f>G248 * APP_INVEST!$D$22</f>
        <v>221400</v>
      </c>
      <c r="K248" s="44">
        <f>J248 / (1 + APP_INVEST!$D$24)^G248</f>
        <v>99081.862326281916</v>
      </c>
    </row>
    <row r="249" spans="7:11" x14ac:dyDescent="0.3">
      <c r="G249" s="45">
        <f t="shared" si="4"/>
        <v>247</v>
      </c>
      <c r="H249" s="44">
        <f>H248 * (1 + APP_INVEST!$D$23) + APP_INVEST!$D$22</f>
        <v>873351.62495926092</v>
      </c>
      <c r="I249" s="44">
        <f>I248 * (1 + APP_INVEST!$D$25) + APP_INVEST!$D$22</f>
        <v>517544.19662895316</v>
      </c>
      <c r="J249" s="44">
        <f>G249 * APP_INVEST!$D$22</f>
        <v>222300</v>
      </c>
      <c r="K249" s="44">
        <f>J249 / (1 + APP_INVEST!$D$24)^G249</f>
        <v>99160.010054637125</v>
      </c>
    </row>
    <row r="250" spans="7:11" x14ac:dyDescent="0.3">
      <c r="G250" s="45">
        <f t="shared" si="4"/>
        <v>248</v>
      </c>
      <c r="H250" s="44">
        <f>H249 * (1 + APP_INVEST!$D$23) + APP_INVEST!$D$22</f>
        <v>882482.96402450197</v>
      </c>
      <c r="I250" s="44">
        <f>I249 * (1 + APP_INVEST!$D$25) + APP_INVEST!$D$22</f>
        <v>521617.3575534767</v>
      </c>
      <c r="J250" s="44">
        <f>G250 * APP_INVEST!$D$22</f>
        <v>223200</v>
      </c>
      <c r="K250" s="44">
        <f>J250 / (1 + APP_INVEST!$D$24)^G250</f>
        <v>99236.592803511958</v>
      </c>
    </row>
    <row r="251" spans="7:11" x14ac:dyDescent="0.3">
      <c r="G251" s="45">
        <f t="shared" si="4"/>
        <v>249</v>
      </c>
      <c r="H251" s="44">
        <f>H250 * (1 + APP_INVEST!$D$23) + APP_INVEST!$D$22</f>
        <v>891700.36596043292</v>
      </c>
      <c r="I251" s="44">
        <f>I250 * (1 + APP_INVEST!$D$25) + APP_INVEST!$D$22</f>
        <v>525715.49179461587</v>
      </c>
      <c r="J251" s="44">
        <f>G251 * APP_INVEST!$D$22</f>
        <v>224100</v>
      </c>
      <c r="K251" s="44">
        <f>J251 / (1 + APP_INVEST!$D$24)^G251</f>
        <v>99311.619954060807</v>
      </c>
    </row>
    <row r="252" spans="7:11" x14ac:dyDescent="0.3">
      <c r="G252" s="45">
        <f t="shared" si="4"/>
        <v>250</v>
      </c>
      <c r="H252" s="44">
        <f>H251 * (1 + APP_INVEST!$D$23) + APP_INVEST!$D$22</f>
        <v>901004.64190961001</v>
      </c>
      <c r="I252" s="44">
        <f>I251 * (1 + APP_INVEST!$D$25) + APP_INVEST!$D$22</f>
        <v>529838.75246847735</v>
      </c>
      <c r="J252" s="44">
        <f>G252 * APP_INVEST!$D$22</f>
        <v>225000</v>
      </c>
      <c r="K252" s="44">
        <f>J252 / (1 + APP_INVEST!$D$24)^G252</f>
        <v>99385.100842878688</v>
      </c>
    </row>
    <row r="253" spans="7:11" x14ac:dyDescent="0.3">
      <c r="G253" s="45">
        <f t="shared" si="4"/>
        <v>251</v>
      </c>
      <c r="H253" s="44">
        <f>H252 * (1 + APP_INVEST!$D$23) + APP_INVEST!$D$22</f>
        <v>910396.61065960815</v>
      </c>
      <c r="I253" s="44">
        <f>I252 * (1 + APP_INVEST!$D$25) + APP_INVEST!$D$22</f>
        <v>533987.29362995154</v>
      </c>
      <c r="J253" s="44">
        <f>G253 * APP_INVEST!$D$22</f>
        <v>225900</v>
      </c>
      <c r="K253" s="44">
        <f>J253 / (1 + APP_INVEST!$D$24)^G253</f>
        <v>99457.04476219225</v>
      </c>
    </row>
    <row r="254" spans="7:11" x14ac:dyDescent="0.3">
      <c r="G254" s="45">
        <f t="shared" si="4"/>
        <v>252</v>
      </c>
      <c r="H254" s="44">
        <f>H253 * (1 + APP_INVEST!$D$23) + APP_INVEST!$D$22</f>
        <v>919877.09871507494</v>
      </c>
      <c r="I254" s="44">
        <f>I253 * (1 + APP_INVEST!$D$25) + APP_INVEST!$D$22</f>
        <v>538161.2702784685</v>
      </c>
      <c r="J254" s="44">
        <f>G254 * APP_INVEST!$D$22</f>
        <v>226800</v>
      </c>
      <c r="K254" s="44">
        <f>J254 / (1 + APP_INVEST!$D$24)^G254</f>
        <v>99527.460960050012</v>
      </c>
    </row>
    <row r="255" spans="7:11" x14ac:dyDescent="0.3">
      <c r="G255" s="45">
        <f t="shared" si="4"/>
        <v>253</v>
      </c>
      <c r="H255" s="44">
        <f>H254 * (1 + APP_INVEST!$D$23) + APP_INVEST!$D$22</f>
        <v>929446.94037046458</v>
      </c>
      <c r="I255" s="44">
        <f>I254 * (1 + APP_INVEST!$D$25) + APP_INVEST!$D$22</f>
        <v>542360.83836378867</v>
      </c>
      <c r="J255" s="44">
        <f>G255 * APP_INVEST!$D$22</f>
        <v>227700</v>
      </c>
      <c r="K255" s="44">
        <f>J255 / (1 + APP_INVEST!$D$24)^G255</f>
        <v>99596.358640511346</v>
      </c>
    </row>
    <row r="256" spans="7:11" x14ac:dyDescent="0.3">
      <c r="G256" s="45">
        <f t="shared" si="4"/>
        <v>254</v>
      </c>
      <c r="H256" s="44">
        <f>H255 * (1 + APP_INVEST!$D$23) + APP_INVEST!$D$22</f>
        <v>939106.97778345621</v>
      </c>
      <c r="I256" s="44">
        <f>I255 * (1 + APP_INVEST!$D$25) + APP_INVEST!$D$22</f>
        <v>546586.15479183022</v>
      </c>
      <c r="J256" s="44">
        <f>G256 * APP_INVEST!$D$22</f>
        <v>228600</v>
      </c>
      <c r="K256" s="44">
        <f>J256 / (1 + APP_INVEST!$D$24)^G256</f>
        <v>99663.746963835642</v>
      </c>
    </row>
    <row r="257" spans="7:11" x14ac:dyDescent="0.3">
      <c r="G257" s="45">
        <f t="shared" si="4"/>
        <v>255</v>
      </c>
      <c r="H257" s="44">
        <f>H256 * (1 + APP_INVEST!$D$23) + APP_INVEST!$D$22</f>
        <v>948858.06104906532</v>
      </c>
      <c r="I257" s="44">
        <f>I256 * (1 + APP_INVEST!$D$25) + APP_INVEST!$D$22</f>
        <v>550837.37743053073</v>
      </c>
      <c r="J257" s="44">
        <f>G257 * APP_INVEST!$D$22</f>
        <v>229500</v>
      </c>
      <c r="K257" s="44">
        <f>J257 / (1 + APP_INVEST!$D$24)^G257</f>
        <v>99729.635046669704</v>
      </c>
    </row>
    <row r="258" spans="7:11" x14ac:dyDescent="0.3">
      <c r="G258" s="45">
        <f t="shared" si="4"/>
        <v>256</v>
      </c>
      <c r="H258" s="44">
        <f>H257 * (1 + APP_INVEST!$D$23) + APP_INVEST!$D$22</f>
        <v>958701.0482744528</v>
      </c>
      <c r="I258" s="44">
        <f>I257 * (1 + APP_INVEST!$D$25) + APP_INVEST!$D$22</f>
        <v>555114.66511574597</v>
      </c>
      <c r="J258" s="44">
        <f>G258 * APP_INVEST!$D$22</f>
        <v>230400</v>
      </c>
      <c r="K258" s="44">
        <f>J258 / (1 + APP_INVEST!$D$24)^G258</f>
        <v>99794.03196223508</v>
      </c>
    </row>
    <row r="259" spans="7:11" x14ac:dyDescent="0.3">
      <c r="G259" s="45">
        <f t="shared" si="4"/>
        <v>257</v>
      </c>
      <c r="H259" s="44">
        <f>H258 * (1 + APP_INVEST!$D$23) + APP_INVEST!$D$22</f>
        <v>968636.80565443949</v>
      </c>
      <c r="I259" s="44">
        <f>I258 * (1 + APP_INVEST!$D$25) + APP_INVEST!$D$22</f>
        <v>559418.17765718431</v>
      </c>
      <c r="J259" s="44">
        <f>G259 * APP_INVEST!$D$22</f>
        <v>231300</v>
      </c>
      <c r="K259" s="44">
        <f>J259 / (1 + APP_INVEST!$D$24)^G259</f>
        <v>99856.946740514235</v>
      </c>
    </row>
    <row r="260" spans="7:11" x14ac:dyDescent="0.3">
      <c r="G260" s="45">
        <f t="shared" ref="G260:G323" si="5">G259+1</f>
        <v>258</v>
      </c>
      <c r="H260" s="44">
        <f>H259 * (1 + APP_INVEST!$D$23) + APP_INVEST!$D$22</f>
        <v>978666.20754773263</v>
      </c>
      <c r="I260" s="44">
        <f>I259 * (1 + APP_INVEST!$D$25) + APP_INVEST!$D$22</f>
        <v>563748.0758443774</v>
      </c>
      <c r="J260" s="44">
        <f>G260 * APP_INVEST!$D$22</f>
        <v>232200</v>
      </c>
      <c r="K260" s="44">
        <f>J260 / (1 + APP_INVEST!$D$24)^G260</f>
        <v>99918.388368436208</v>
      </c>
    </row>
    <row r="261" spans="7:11" x14ac:dyDescent="0.3">
      <c r="G261" s="45">
        <f t="shared" si="5"/>
        <v>259</v>
      </c>
      <c r="H261" s="44">
        <f>H260 * (1 + APP_INVEST!$D$23) + APP_INVEST!$D$22</f>
        <v>988790.13655387005</v>
      </c>
      <c r="I261" s="44">
        <f>I260 * (1 + APP_INVEST!$D$25) + APP_INVEST!$D$22</f>
        <v>568104.5214526878</v>
      </c>
      <c r="J261" s="44">
        <f>G261 * APP_INVEST!$D$22</f>
        <v>233100</v>
      </c>
      <c r="K261" s="44">
        <f>J261 / (1 + APP_INVEST!$D$24)^G261</f>
        <v>99978.365790061507</v>
      </c>
    </row>
    <row r="262" spans="7:11" x14ac:dyDescent="0.3">
      <c r="G262" s="45">
        <f t="shared" si="5"/>
        <v>260</v>
      </c>
      <c r="H262" s="44">
        <f>H261 * (1 + APP_INVEST!$D$23) + APP_INVEST!$D$22</f>
        <v>999009.4835908903</v>
      </c>
      <c r="I262" s="44">
        <f>I261 * (1 + APP_INVEST!$D$25) + APP_INVEST!$D$22</f>
        <v>572487.6772493535</v>
      </c>
      <c r="J262" s="44">
        <f>G262 * APP_INVEST!$D$22</f>
        <v>234000</v>
      </c>
      <c r="K262" s="44">
        <f>J262 / (1 + APP_INVEST!$D$24)^G262</f>
        <v>100036.88790676605</v>
      </c>
    </row>
    <row r="263" spans="7:11" x14ac:dyDescent="0.3">
      <c r="G263" s="45">
        <f t="shared" si="5"/>
        <v>261</v>
      </c>
      <c r="H263" s="44">
        <f>H262 * (1 + APP_INVEST!$D$23) + APP_INVEST!$D$22</f>
        <v>1009325.1479737344</v>
      </c>
      <c r="I263" s="44">
        <f>I262 * (1 + APP_INVEST!$D$25) + APP_INVEST!$D$22</f>
        <v>576897.70699956873</v>
      </c>
      <c r="J263" s="44">
        <f>G263 * APP_INVEST!$D$22</f>
        <v>234900</v>
      </c>
      <c r="K263" s="44">
        <f>J263 / (1 + APP_INVEST!$D$24)^G263</f>
        <v>100093.96357742454</v>
      </c>
    </row>
    <row r="264" spans="7:11" x14ac:dyDescent="0.3">
      <c r="G264" s="45">
        <f t="shared" si="5"/>
        <v>262</v>
      </c>
      <c r="H264" s="44">
        <f>H263 * (1 + APP_INVEST!$D$23) + APP_INVEST!$D$22</f>
        <v>1019738.0374933869</v>
      </c>
      <c r="I264" s="44">
        <f>I263 * (1 + APP_INVEST!$D$25) + APP_INVEST!$D$22</f>
        <v>581334.77547260327</v>
      </c>
      <c r="J264" s="44">
        <f>G264 * APP_INVEST!$D$22</f>
        <v>235800</v>
      </c>
      <c r="K264" s="44">
        <f>J264 / (1 + APP_INVEST!$D$24)^G264</f>
        <v>100149.60161859308</v>
      </c>
    </row>
    <row r="265" spans="7:11" x14ac:dyDescent="0.3">
      <c r="G265" s="45">
        <f t="shared" si="5"/>
        <v>263</v>
      </c>
      <c r="H265" s="44">
        <f>H264 * (1 + APP_INVEST!$D$23) + APP_INVEST!$D$22</f>
        <v>1030249.0684967621</v>
      </c>
      <c r="I265" s="44">
        <f>I264 * (1 + APP_INVEST!$D$25) + APP_INVEST!$D$22</f>
        <v>585799.04844795819</v>
      </c>
      <c r="J265" s="44">
        <f>G265 * APP_INVEST!$D$22</f>
        <v>236700</v>
      </c>
      <c r="K265" s="44">
        <f>J265 / (1 + APP_INVEST!$D$24)^G265</f>
        <v>100203.81080469105</v>
      </c>
    </row>
    <row r="266" spans="7:11" x14ac:dyDescent="0.3">
      <c r="G266" s="45">
        <f t="shared" si="5"/>
        <v>264</v>
      </c>
      <c r="H266" s="44">
        <f>H265 * (1 + APP_INVEST!$D$23) + APP_INVEST!$D$22</f>
        <v>1040859.1659673441</v>
      </c>
      <c r="I266" s="44">
        <f>I265 * (1 + APP_INVEST!$D$25) + APP_INVEST!$D$22</f>
        <v>590290.69272155978</v>
      </c>
      <c r="J266" s="44">
        <f>G266 * APP_INVEST!$D$22</f>
        <v>237600</v>
      </c>
      <c r="K266" s="44">
        <f>J266 / (1 + APP_INVEST!$D$24)^G266</f>
        <v>100256.59986818217</v>
      </c>
    </row>
    <row r="267" spans="7:11" x14ac:dyDescent="0.3">
      <c r="G267" s="45">
        <f t="shared" si="5"/>
        <v>265</v>
      </c>
      <c r="H267" s="44">
        <f>H266 * (1 + APP_INVEST!$D$23) + APP_INVEST!$D$22</f>
        <v>1051569.2636065863</v>
      </c>
      <c r="I267" s="44">
        <f>I266 * (1 + APP_INVEST!$D$25) + APP_INVEST!$D$22</f>
        <v>594809.87611199182</v>
      </c>
      <c r="J267" s="44">
        <f>G267 * APP_INVEST!$D$22</f>
        <v>238500</v>
      </c>
      <c r="K267" s="44">
        <f>J267 / (1 + APP_INVEST!$D$24)^G267</f>
        <v>100307.97749975485</v>
      </c>
    </row>
    <row r="268" spans="7:11" x14ac:dyDescent="0.3">
      <c r="G268" s="45">
        <f t="shared" si="5"/>
        <v>266</v>
      </c>
      <c r="H268" s="44">
        <f>H267 * (1 + APP_INVEST!$D$23) + APP_INVEST!$D$22</f>
        <v>1062380.3039160783</v>
      </c>
      <c r="I268" s="44">
        <f>I267 * (1 + APP_INVEST!$D$25) + APP_INVEST!$D$22</f>
        <v>599356.76746676513</v>
      </c>
      <c r="J268" s="44">
        <f>G268 * APP_INVEST!$D$22</f>
        <v>239400</v>
      </c>
      <c r="K268" s="44">
        <f>J268 / (1 + APP_INVEST!$D$24)^G268</f>
        <v>100357.95234850193</v>
      </c>
    </row>
    <row r="269" spans="7:11" x14ac:dyDescent="0.3">
      <c r="G269" s="45">
        <f t="shared" si="5"/>
        <v>267</v>
      </c>
      <c r="H269" s="44">
        <f>H268 * (1 + APP_INVEST!$D$23) + APP_INVEST!$D$22</f>
        <v>1073293.2382804872</v>
      </c>
      <c r="I269" s="44">
        <f>I268 * (1 + APP_INVEST!$D$25) + APP_INVEST!$D$22</f>
        <v>603931.53666862671</v>
      </c>
      <c r="J269" s="44">
        <f>G269 * APP_INVEST!$D$22</f>
        <v>240300</v>
      </c>
      <c r="K269" s="44">
        <f>J269 / (1 + APP_INVEST!$D$24)^G269</f>
        <v>100406.53302209955</v>
      </c>
    </row>
    <row r="270" spans="7:11" x14ac:dyDescent="0.3">
      <c r="G270" s="45">
        <f t="shared" si="5"/>
        <v>268</v>
      </c>
      <c r="H270" s="44">
        <f>H269 * (1 + APP_INVEST!$D$23) + APP_INVEST!$D$22</f>
        <v>1084309.027051281</v>
      </c>
      <c r="I270" s="44">
        <f>I269 * (1 + APP_INVEST!$D$25) + APP_INVEST!$D$22</f>
        <v>608534.35464190645</v>
      </c>
      <c r="J270" s="44">
        <f>G270 * APP_INVEST!$D$22</f>
        <v>241200</v>
      </c>
      <c r="K270" s="44">
        <f>J270 / (1 + APP_INVEST!$D$24)^G270</f>
        <v>100453.72808698539</v>
      </c>
    </row>
    <row r="271" spans="7:11" x14ac:dyDescent="0.3">
      <c r="G271" s="45">
        <f t="shared" si="5"/>
        <v>269</v>
      </c>
      <c r="H271" s="44">
        <f>H270 * (1 + APP_INVEST!$D$23) + APP_INVEST!$D$22</f>
        <v>1095428.6396312392</v>
      </c>
      <c r="I271" s="44">
        <f>I270 * (1 + APP_INVEST!$D$25) + APP_INVEST!$D$22</f>
        <v>613165.3933589037</v>
      </c>
      <c r="J271" s="44">
        <f>G271 * APP_INVEST!$D$22</f>
        <v>242100</v>
      </c>
      <c r="K271" s="44">
        <f>J271 / (1 + APP_INVEST!$D$24)^G271</f>
        <v>100499.54606853603</v>
      </c>
    </row>
    <row r="272" spans="7:11" x14ac:dyDescent="0.3">
      <c r="G272" s="45">
        <f t="shared" si="5"/>
        <v>270</v>
      </c>
      <c r="H272" s="44">
        <f>H271 * (1 + APP_INVEST!$D$23) + APP_INVEST!$D$22</f>
        <v>1106653.0545597638</v>
      </c>
      <c r="I272" s="44">
        <f>I271 * (1 + APP_INVEST!$D$25) + APP_INVEST!$D$22</f>
        <v>617824.8258463121</v>
      </c>
      <c r="J272" s="44">
        <f>G272 * APP_INVEST!$D$22</f>
        <v>243000</v>
      </c>
      <c r="K272" s="44">
        <f>J272 / (1 + APP_INVEST!$D$24)^G272</f>
        <v>100543.99545124391</v>
      </c>
    </row>
    <row r="273" spans="7:11" x14ac:dyDescent="0.3">
      <c r="G273" s="45">
        <f t="shared" si="5"/>
        <v>271</v>
      </c>
      <c r="H273" s="44">
        <f>H272 * (1 + APP_INVEST!$D$23) + APP_INVEST!$D$22</f>
        <v>1117983.2595989895</v>
      </c>
      <c r="I273" s="44">
        <f>I272 * (1 + APP_INVEST!$D$25) + APP_INVEST!$D$22</f>
        <v>622512.8261916847</v>
      </c>
      <c r="J273" s="44">
        <f>G273 * APP_INVEST!$D$22</f>
        <v>243900</v>
      </c>
      <c r="K273" s="44">
        <f>J273 / (1 + APP_INVEST!$D$24)^G273</f>
        <v>100587.08467889314</v>
      </c>
    </row>
    <row r="274" spans="7:11" x14ac:dyDescent="0.3">
      <c r="G274" s="45">
        <f t="shared" si="5"/>
        <v>272</v>
      </c>
      <c r="H274" s="44">
        <f>H273 * (1 + APP_INVEST!$D$23) + APP_INVEST!$D$22</f>
        <v>1129420.25182071</v>
      </c>
      <c r="I274" s="44">
        <f>I273 * (1 + APP_INVEST!$D$25) + APP_INVEST!$D$22</f>
        <v>627229.56954993808</v>
      </c>
      <c r="J274" s="44">
        <f>G274 * APP_INVEST!$D$22</f>
        <v>244800</v>
      </c>
      <c r="K274" s="44">
        <f>J274 / (1 + APP_INVEST!$D$24)^G274</f>
        <v>100628.82215473503</v>
      </c>
    </row>
    <row r="275" spans="7:11" x14ac:dyDescent="0.3">
      <c r="G275" s="45">
        <f t="shared" si="5"/>
        <v>273</v>
      </c>
      <c r="H275" s="44">
        <f>H274 * (1 + APP_INVEST!$D$23) + APP_INVEST!$D$22</f>
        <v>1140965.0376941203</v>
      </c>
      <c r="I275" s="44">
        <f>I274 * (1 + APP_INVEST!$D$25) + APP_INVEST!$D$22</f>
        <v>631975.23214989668</v>
      </c>
      <c r="J275" s="44">
        <f>G275 * APP_INVEST!$D$22</f>
        <v>245700</v>
      </c>
      <c r="K275" s="44">
        <f>J275 / (1 + APP_INVEST!$D$24)^G275</f>
        <v>100669.21624166257</v>
      </c>
    </row>
    <row r="276" spans="7:11" x14ac:dyDescent="0.3">
      <c r="G276" s="45">
        <f t="shared" si="5"/>
        <v>274</v>
      </c>
      <c r="H276" s="44">
        <f>H275 * (1 + APP_INVEST!$D$23) + APP_INVEST!$D$22</f>
        <v>1152618.6331743875</v>
      </c>
      <c r="I276" s="44">
        <f>I275 * (1 + APP_INVEST!$D$25) + APP_INVEST!$D$22</f>
        <v>636749.99130087695</v>
      </c>
      <c r="J276" s="44">
        <f>G276 * APP_INVEST!$D$22</f>
        <v>246600</v>
      </c>
      <c r="K276" s="44">
        <f>J276 / (1 + APP_INVEST!$D$24)^G276</f>
        <v>100708.27526238437</v>
      </c>
    </row>
    <row r="277" spans="7:11" x14ac:dyDescent="0.3">
      <c r="G277" s="45">
        <f t="shared" si="5"/>
        <v>275</v>
      </c>
      <c r="H277" s="44">
        <f>H276 * (1 + APP_INVEST!$D$23) + APP_INVEST!$D$22</f>
        <v>1164382.0637920562</v>
      </c>
      <c r="I277" s="44">
        <f>I276 * (1 + APP_INVEST!$D$25) + APP_INVEST!$D$22</f>
        <v>641554.02539931203</v>
      </c>
      <c r="J277" s="44">
        <f>G277 * APP_INVEST!$D$22</f>
        <v>247500</v>
      </c>
      <c r="K277" s="44">
        <f>J277 / (1 + APP_INVEST!$D$24)^G277</f>
        <v>100746.00749959794</v>
      </c>
    </row>
    <row r="278" spans="7:11" x14ac:dyDescent="0.3">
      <c r="G278" s="45">
        <f t="shared" si="5"/>
        <v>276</v>
      </c>
      <c r="H278" s="44">
        <f>H277 * (1 + APP_INVEST!$D$23) + APP_INVEST!$D$22</f>
        <v>1176256.3647432963</v>
      </c>
      <c r="I278" s="44">
        <f>I277 * (1 + APP_INVEST!$D$25) + APP_INVEST!$D$22</f>
        <v>646387.5139354174</v>
      </c>
      <c r="J278" s="44">
        <f>G278 * APP_INVEST!$D$22</f>
        <v>248400</v>
      </c>
      <c r="K278" s="44">
        <f>J278 / (1 + APP_INVEST!$D$24)^G278</f>
        <v>100782.42119616209</v>
      </c>
    </row>
    <row r="279" spans="7:11" x14ac:dyDescent="0.3">
      <c r="G279" s="45">
        <f t="shared" si="5"/>
        <v>277</v>
      </c>
      <c r="H279" s="44">
        <f>H278 * (1 + APP_INVEST!$D$23) + APP_INVEST!$D$22</f>
        <v>1188242.580981002</v>
      </c>
      <c r="I279" s="44">
        <f>I278 * (1 + APP_INVEST!$D$25) + APP_INVEST!$D$22</f>
        <v>651250.63749989681</v>
      </c>
      <c r="J279" s="44">
        <f>G279 * APP_INVEST!$D$22</f>
        <v>249300</v>
      </c>
      <c r="K279" s="44">
        <f>J279 / (1 + APP_INVEST!$D$24)^G279</f>
        <v>100817.5245552688</v>
      </c>
    </row>
    <row r="280" spans="7:11" x14ac:dyDescent="0.3">
      <c r="G280" s="45">
        <f t="shared" si="5"/>
        <v>278</v>
      </c>
      <c r="H280" s="44">
        <f>H279 * (1 + APP_INVEST!$D$23) + APP_INVEST!$D$22</f>
        <v>1200341.7673067478</v>
      </c>
      <c r="I280" s="44">
        <f>I279 * (1 + APP_INVEST!$D$25) + APP_INVEST!$D$22</f>
        <v>656143.57779068954</v>
      </c>
      <c r="J280" s="44">
        <f>G280 * APP_INVEST!$D$22</f>
        <v>250200</v>
      </c>
      <c r="K280" s="44">
        <f>J280 / (1 + APP_INVEST!$D$24)^G280</f>
        <v>100851.32574061424</v>
      </c>
    </row>
    <row r="281" spans="7:11" x14ac:dyDescent="0.3">
      <c r="G281" s="45">
        <f t="shared" si="5"/>
        <v>279</v>
      </c>
      <c r="H281" s="44">
        <f>H280 * (1 + APP_INVEST!$D$23) + APP_INVEST!$D$22</f>
        <v>1212554.9884636139</v>
      </c>
      <c r="I281" s="44">
        <f>I280 * (1 + APP_INVEST!$D$25) + APP_INVEST!$D$22</f>
        <v>661066.51761975919</v>
      </c>
      <c r="J281" s="44">
        <f>G281 * APP_INVEST!$D$22</f>
        <v>251100</v>
      </c>
      <c r="K281" s="44">
        <f>J281 / (1 + APP_INVEST!$D$24)^G281</f>
        <v>100883.83287656929</v>
      </c>
    </row>
    <row r="282" spans="7:11" x14ac:dyDescent="0.3">
      <c r="G282" s="45">
        <f t="shared" si="5"/>
        <v>280</v>
      </c>
      <c r="H282" s="44">
        <f>H281 * (1 + APP_INVEST!$D$23) + APP_INVEST!$D$22</f>
        <v>1224883.3192298834</v>
      </c>
      <c r="I282" s="44">
        <f>I281 * (1 + APP_INVEST!$D$25) + APP_INVEST!$D$22</f>
        <v>666019.64091992402</v>
      </c>
      <c r="J282" s="44">
        <f>G282 * APP_INVEST!$D$22</f>
        <v>252000</v>
      </c>
      <c r="K282" s="44">
        <f>J282 / (1 + APP_INVEST!$D$24)^G282</f>
        <v>100915.05404834921</v>
      </c>
    </row>
    <row r="283" spans="7:11" x14ac:dyDescent="0.3">
      <c r="G283" s="45">
        <f t="shared" si="5"/>
        <v>281</v>
      </c>
      <c r="H283" s="44">
        <f>H282 * (1 + APP_INVEST!$D$23) + APP_INVEST!$D$22</f>
        <v>1237327.8445136251</v>
      </c>
      <c r="I283" s="44">
        <f>I282 * (1 + APP_INVEST!$D$25) + APP_INVEST!$D$22</f>
        <v>671003.13275172876</v>
      </c>
      <c r="J283" s="44">
        <f>G283 * APP_INVEST!$D$22</f>
        <v>252900</v>
      </c>
      <c r="K283" s="44">
        <f>J283 / (1 + APP_INVEST!$D$24)^G283</f>
        <v>100944.99730218264</v>
      </c>
    </row>
    <row r="284" spans="7:11" x14ac:dyDescent="0.3">
      <c r="G284" s="45">
        <f t="shared" si="5"/>
        <v>282</v>
      </c>
      <c r="H284" s="44">
        <f>H283 * (1 + APP_INVEST!$D$23) + APP_INVEST!$D$22</f>
        <v>1249889.6594481661</v>
      </c>
      <c r="I284" s="44">
        <f>I283 * (1 + APP_INVEST!$D$25) + APP_INVEST!$D$22</f>
        <v>676017.17931035953</v>
      </c>
      <c r="J284" s="44">
        <f>G284 * APP_INVEST!$D$22</f>
        <v>253800</v>
      </c>
      <c r="K284" s="44">
        <f>J284 / (1 + APP_INVEST!$D$24)^G284</f>
        <v>100973.67064547994</v>
      </c>
    </row>
    <row r="285" spans="7:11" x14ac:dyDescent="0.3">
      <c r="G285" s="45">
        <f t="shared" si="5"/>
        <v>283</v>
      </c>
      <c r="H285" s="44">
        <f>H284 * (1 + APP_INVEST!$D$23) + APP_INVEST!$D$22</f>
        <v>1262569.8694884651</v>
      </c>
      <c r="I285" s="44">
        <f>I284 * (1 + APP_INVEST!$D$25) + APP_INVEST!$D$22</f>
        <v>681061.96793259995</v>
      </c>
      <c r="J285" s="44">
        <f>G285 * APP_INVEST!$D$22</f>
        <v>254700</v>
      </c>
      <c r="K285" s="44">
        <f>J285 / (1 + APP_INVEST!$D$24)^G285</f>
        <v>101001.08204700092</v>
      </c>
    </row>
    <row r="286" spans="7:11" x14ac:dyDescent="0.3">
      <c r="G286" s="45">
        <f t="shared" si="5"/>
        <v>284</v>
      </c>
      <c r="H286" s="44">
        <f>H285 * (1 + APP_INVEST!$D$23) + APP_INVEST!$D$22</f>
        <v>1275369.5905083939</v>
      </c>
      <c r="I286" s="44">
        <f>I285 * (1 + APP_INVEST!$D$25) + APP_INVEST!$D$22</f>
        <v>686137.68710383086</v>
      </c>
      <c r="J286" s="44">
        <f>G286 * APP_INVEST!$D$22</f>
        <v>255600</v>
      </c>
      <c r="K286" s="44">
        <f>J286 / (1 + APP_INVEST!$D$24)^G286</f>
        <v>101027.23943702184</v>
      </c>
    </row>
    <row r="287" spans="7:11" x14ac:dyDescent="0.3">
      <c r="G287" s="45">
        <f t="shared" si="5"/>
        <v>285</v>
      </c>
      <c r="H287" s="44">
        <f>H286 * (1 + APP_INVEST!$D$23) + APP_INVEST!$D$22</f>
        <v>1288289.9488989357</v>
      </c>
      <c r="I287" s="44">
        <f>I286 * (1 + APP_INVEST!$D$25) + APP_INVEST!$D$22</f>
        <v>691244.52646507241</v>
      </c>
      <c r="J287" s="44">
        <f>G287 * APP_INVEST!$D$22</f>
        <v>256500</v>
      </c>
      <c r="K287" s="44">
        <f>J287 / (1 + APP_INVEST!$D$24)^G287</f>
        <v>101052.15070750145</v>
      </c>
    </row>
    <row r="288" spans="7:11" x14ac:dyDescent="0.3">
      <c r="G288" s="45">
        <f t="shared" si="5"/>
        <v>286</v>
      </c>
      <c r="H288" s="44">
        <f>H287 * (1 + APP_INVEST!$D$23) + APP_INVEST!$D$22</f>
        <v>1301332.0816673082</v>
      </c>
      <c r="I288" s="44">
        <f>I287 * (1 + APP_INVEST!$D$25) + APP_INVEST!$D$22</f>
        <v>696382.67682006967</v>
      </c>
      <c r="J288" s="44">
        <f>G288 * APP_INVEST!$D$22</f>
        <v>257400</v>
      </c>
      <c r="K288" s="44">
        <f>J288 / (1 + APP_INVEST!$D$24)^G288</f>
        <v>101075.82371224702</v>
      </c>
    </row>
    <row r="289" spans="7:11" x14ac:dyDescent="0.3">
      <c r="G289" s="45">
        <f t="shared" si="5"/>
        <v>287</v>
      </c>
      <c r="H289" s="44">
        <f>H288 * (1 + APP_INVEST!$D$23) + APP_INVEST!$D$22</f>
        <v>1314497.1365370227</v>
      </c>
      <c r="I289" s="44">
        <f>I288 * (1 + APP_INVEST!$D$25) + APP_INVEST!$D$22</f>
        <v>701552.33014242118</v>
      </c>
      <c r="J289" s="44">
        <f>G289 * APP_INVEST!$D$22</f>
        <v>258300</v>
      </c>
      <c r="K289" s="44">
        <f>J289 / (1 + APP_INVEST!$D$24)^G289</f>
        <v>101098.26626707897</v>
      </c>
    </row>
    <row r="290" spans="7:11" x14ac:dyDescent="0.3">
      <c r="G290" s="45">
        <f t="shared" si="5"/>
        <v>288</v>
      </c>
      <c r="H290" s="44">
        <f>H289 * (1 + APP_INVEST!$D$23) + APP_INVEST!$D$22</f>
        <v>1327786.2720488841</v>
      </c>
      <c r="I290" s="44">
        <f>I289 * (1 + APP_INVEST!$D$25) + APP_INVEST!$D$22</f>
        <v>706753.67958275194</v>
      </c>
      <c r="J290" s="44">
        <f>G290 * APP_INVEST!$D$22</f>
        <v>259200</v>
      </c>
      <c r="K290" s="44">
        <f>J290 / (1 + APP_INVEST!$D$24)^G290</f>
        <v>101119.48614999535</v>
      </c>
    </row>
    <row r="291" spans="7:11" x14ac:dyDescent="0.3">
      <c r="G291" s="45">
        <f t="shared" si="5"/>
        <v>289</v>
      </c>
      <c r="H291" s="44">
        <f>H290 * (1 + APP_INVEST!$D$23) + APP_INVEST!$D$22</f>
        <v>1341200.6576629449</v>
      </c>
      <c r="I291" s="44">
        <f>I290 * (1 + APP_INVEST!$D$25) + APP_INVEST!$D$22</f>
        <v>711986.9194759297</v>
      </c>
      <c r="J291" s="44">
        <f>G291 * APP_INVEST!$D$22</f>
        <v>260100</v>
      </c>
      <c r="K291" s="44">
        <f>J291 / (1 + APP_INVEST!$D$24)^G291</f>
        <v>101139.49110133527</v>
      </c>
    </row>
    <row r="292" spans="7:11" x14ac:dyDescent="0.3">
      <c r="G292" s="45">
        <f t="shared" si="5"/>
        <v>290</v>
      </c>
      <c r="H292" s="44">
        <f>H291 * (1 + APP_INVEST!$D$23) + APP_INVEST!$D$22</f>
        <v>1354741.4738614182</v>
      </c>
      <c r="I292" s="44">
        <f>I291 * (1 + APP_INVEST!$D$25) + APP_INVEST!$D$22</f>
        <v>717252.24534832593</v>
      </c>
      <c r="J292" s="44">
        <f>G292 * APP_INVEST!$D$22</f>
        <v>261000</v>
      </c>
      <c r="K292" s="44">
        <f>J292 / (1 + APP_INVEST!$D$24)^G292</f>
        <v>101158.288823942</v>
      </c>
    </row>
    <row r="293" spans="7:11" x14ac:dyDescent="0.3">
      <c r="G293" s="45">
        <f t="shared" si="5"/>
        <v>291</v>
      </c>
      <c r="H293" s="44">
        <f>H292 * (1 + APP_INVEST!$D$23) + APP_INVEST!$D$22</f>
        <v>1368409.9122525621</v>
      </c>
      <c r="I293" s="44">
        <f>I292 * (1 + APP_INVEST!$D$25) + APP_INVEST!$D$22</f>
        <v>722549.85392512113</v>
      </c>
      <c r="J293" s="44">
        <f>G293 * APP_INVEST!$D$22</f>
        <v>261900</v>
      </c>
      <c r="K293" s="44">
        <f>J293 / (1 + APP_INVEST!$D$24)^G293</f>
        <v>101175.88698332522</v>
      </c>
    </row>
    <row r="294" spans="7:11" x14ac:dyDescent="0.3">
      <c r="G294" s="45">
        <f t="shared" si="5"/>
        <v>292</v>
      </c>
      <c r="H294" s="44">
        <f>H293 * (1 + APP_INVEST!$D$23) + APP_INVEST!$D$22</f>
        <v>1382207.1756755426</v>
      </c>
      <c r="I294" s="44">
        <f>I293 * (1 + APP_INVEST!$D$25) + APP_INVEST!$D$22</f>
        <v>727879.94313765492</v>
      </c>
      <c r="J294" s="44">
        <f>G294 * APP_INVEST!$D$22</f>
        <v>262800</v>
      </c>
      <c r="K294" s="44">
        <f>J294 / (1 + APP_INVEST!$D$24)^G294</f>
        <v>101192.29320782264</v>
      </c>
    </row>
    <row r="295" spans="7:11" x14ac:dyDescent="0.3">
      <c r="G295" s="45">
        <f t="shared" si="5"/>
        <v>293</v>
      </c>
      <c r="H295" s="44">
        <f>H294 * (1 + APP_INVEST!$D$23) + APP_INVEST!$D$22</f>
        <v>1396134.4783062846</v>
      </c>
      <c r="I295" s="44">
        <f>I294 * (1 + APP_INVEST!$D$25) + APP_INVEST!$D$22</f>
        <v>733242.71213082119</v>
      </c>
      <c r="J295" s="44">
        <f>G295 * APP_INVEST!$D$22</f>
        <v>263700</v>
      </c>
      <c r="K295" s="44">
        <f>J295 / (1 + APP_INVEST!$D$24)^G295</f>
        <v>101207.51508876093</v>
      </c>
    </row>
    <row r="296" spans="7:11" x14ac:dyDescent="0.3">
      <c r="G296" s="45">
        <f t="shared" si="5"/>
        <v>294</v>
      </c>
      <c r="H296" s="44">
        <f>H295 * (1 + APP_INVEST!$D$23) + APP_INVEST!$D$22</f>
        <v>1410193.0457643215</v>
      </c>
      <c r="I296" s="44">
        <f>I295 * (1 + APP_INVEST!$D$25) + APP_INVEST!$D$22</f>
        <v>738638.36127050861</v>
      </c>
      <c r="J296" s="44">
        <f>G296 * APP_INVEST!$D$22</f>
        <v>264600</v>
      </c>
      <c r="K296" s="44">
        <f>J296 / (1 + APP_INVEST!$D$24)^G296</f>
        <v>101221.56018061607</v>
      </c>
    </row>
    <row r="297" spans="7:11" x14ac:dyDescent="0.3">
      <c r="G297" s="45">
        <f t="shared" si="5"/>
        <v>295</v>
      </c>
      <c r="H297" s="44">
        <f>H296 * (1 + APP_INVEST!$D$23) + APP_INVEST!$D$22</f>
        <v>1424384.1152206501</v>
      </c>
      <c r="I297" s="44">
        <f>I296 * (1 + APP_INVEST!$D$25) + APP_INVEST!$D$22</f>
        <v>744067.09215108701</v>
      </c>
      <c r="J297" s="44">
        <f>G297 * APP_INVEST!$D$22</f>
        <v>265500</v>
      </c>
      <c r="K297" s="44">
        <f>J297 / (1 + APP_INVEST!$D$24)^G297</f>
        <v>101234.43600117308</v>
      </c>
    </row>
    <row r="298" spans="7:11" x14ac:dyDescent="0.3">
      <c r="G298" s="45">
        <f t="shared" si="5"/>
        <v>296</v>
      </c>
      <c r="H298" s="44">
        <f>H297 * (1 + APP_INVEST!$D$23) + APP_INVEST!$D$22</f>
        <v>1438708.9355066048</v>
      </c>
      <c r="I298" s="44">
        <f>I297 * (1 + APP_INVEST!$D$25) + APP_INVEST!$D$22</f>
        <v>749529.10760293913</v>
      </c>
      <c r="J298" s="44">
        <f>G298 * APP_INVEST!$D$22</f>
        <v>266400</v>
      </c>
      <c r="K298" s="44">
        <f>J298 / (1 + APP_INVEST!$D$24)^G298</f>
        <v>101246.15003168485</v>
      </c>
    </row>
    <row r="299" spans="7:11" x14ac:dyDescent="0.3">
      <c r="G299" s="45">
        <f t="shared" si="5"/>
        <v>297</v>
      </c>
      <c r="H299" s="44">
        <f>H298 * (1 + APP_INVEST!$D$23) + APP_INVEST!$D$22</f>
        <v>1453168.7672237547</v>
      </c>
      <c r="I299" s="44">
        <f>I298 * (1 + APP_INVEST!$D$25) + APP_INVEST!$D$22</f>
        <v>755024.61170003901</v>
      </c>
      <c r="J299" s="44">
        <f>G299 * APP_INVEST!$D$22</f>
        <v>267300</v>
      </c>
      <c r="K299" s="44">
        <f>J299 / (1 + APP_INVEST!$D$24)^G299</f>
        <v>101256.70971703075</v>
      </c>
    </row>
    <row r="300" spans="7:11" x14ac:dyDescent="0.3">
      <c r="G300" s="45">
        <f t="shared" si="5"/>
        <v>298</v>
      </c>
      <c r="H300" s="44">
        <f>H299 * (1 + APP_INVEST!$D$23) + APP_INVEST!$D$22</f>
        <v>1467764.8828548386</v>
      </c>
      <c r="I300" s="44">
        <f>I299 * (1 + APP_INVEST!$D$25) + APP_INVEST!$D$22</f>
        <v>760553.80976757675</v>
      </c>
      <c r="J300" s="44">
        <f>G300 * APP_INVEST!$D$22</f>
        <v>268200</v>
      </c>
      <c r="K300" s="44">
        <f>J300 / (1 + APP_INVEST!$D$24)^G300</f>
        <v>101266.12246587413</v>
      </c>
    </row>
    <row r="301" spans="7:11" x14ac:dyDescent="0.3">
      <c r="G301" s="45">
        <f t="shared" si="5"/>
        <v>299</v>
      </c>
      <c r="H301" s="44">
        <f>H300 * (1 + APP_INVEST!$D$23) + APP_INVEST!$D$22</f>
        <v>1482498.5668757455</v>
      </c>
      <c r="I301" s="44">
        <f>I300 * (1 + APP_INVEST!$D$25) + APP_INVEST!$D$22</f>
        <v>766116.90838962968</v>
      </c>
      <c r="J301" s="44">
        <f>G301 * APP_INVEST!$D$22</f>
        <v>269100</v>
      </c>
      <c r="K301" s="44">
        <f>J301 / (1 + APP_INVEST!$D$24)^G301</f>
        <v>101274.39565081948</v>
      </c>
    </row>
    <row r="302" spans="7:11" x14ac:dyDescent="0.3">
      <c r="G302" s="45">
        <f t="shared" si="5"/>
        <v>300</v>
      </c>
      <c r="H302" s="44">
        <f>H301 * (1 + APP_INVEST!$D$23) + APP_INVEST!$D$22</f>
        <v>1497371.1158685496</v>
      </c>
      <c r="I302" s="44">
        <f>I301 * (1 + APP_INVEST!$D$25) + APP_INVEST!$D$22</f>
        <v>771714.11541688116</v>
      </c>
      <c r="J302" s="44">
        <f>G302 * APP_INVEST!$D$22</f>
        <v>270000</v>
      </c>
      <c r="K302" s="44">
        <f>J302 / (1 + APP_INVEST!$D$24)^G302</f>
        <v>101281.53660856902</v>
      </c>
    </row>
    <row r="303" spans="7:11" x14ac:dyDescent="0.3">
      <c r="G303" s="45">
        <f t="shared" si="5"/>
        <v>301</v>
      </c>
      <c r="H303" s="44">
        <f>H302 * (1 + APP_INVEST!$D$23) + APP_INVEST!$D$22</f>
        <v>1512383.8386356106</v>
      </c>
      <c r="I303" s="44">
        <f>I302 * (1 + APP_INVEST!$D$25) + APP_INVEST!$D$22</f>
        <v>777345.6399743862</v>
      </c>
      <c r="J303" s="44">
        <f>G303 * APP_INVEST!$D$22</f>
        <v>270900</v>
      </c>
      <c r="K303" s="44">
        <f>J303 / (1 + APP_INVEST!$D$24)^G303</f>
        <v>101287.55264007818</v>
      </c>
    </row>
    <row r="304" spans="7:11" x14ac:dyDescent="0.3">
      <c r="G304" s="45">
        <f t="shared" si="5"/>
        <v>302</v>
      </c>
      <c r="H304" s="44">
        <f>H303 * (1 + APP_INVEST!$D$23) + APP_INVEST!$D$22</f>
        <v>1527538.0563147513</v>
      </c>
      <c r="I304" s="44">
        <f>I303 * (1 + APP_INVEST!$D$25) + APP_INVEST!$D$22</f>
        <v>783011.69246938475</v>
      </c>
      <c r="J304" s="44">
        <f>G304 * APP_INVEST!$D$22</f>
        <v>271800</v>
      </c>
      <c r="K304" s="44">
        <f>J304 / (1 + APP_INVEST!$D$24)^G304</f>
        <v>101292.45101071108</v>
      </c>
    </row>
    <row r="305" spans="7:11" x14ac:dyDescent="0.3">
      <c r="G305" s="45">
        <f t="shared" si="5"/>
        <v>303</v>
      </c>
      <c r="H305" s="44">
        <f>H304 * (1 + APP_INVEST!$D$23) + APP_INVEST!$D$22</f>
        <v>1542835.1024955178</v>
      </c>
      <c r="I305" s="44">
        <f>I304 * (1 + APP_INVEST!$D$25) + APP_INVEST!$D$22</f>
        <v>788712.48459916341</v>
      </c>
      <c r="J305" s="44">
        <f>G305 * APP_INVEST!$D$22</f>
        <v>272700</v>
      </c>
      <c r="K305" s="44">
        <f>J305 / (1 + APP_INVEST!$D$24)^G305</f>
        <v>101296.23895039494</v>
      </c>
    </row>
    <row r="306" spans="7:11" x14ac:dyDescent="0.3">
      <c r="G306" s="45">
        <f t="shared" si="5"/>
        <v>304</v>
      </c>
      <c r="H306" s="44">
        <f>H305 * (1 + APP_INVEST!$D$23) + APP_INVEST!$D$22</f>
        <v>1558276.3233365382</v>
      </c>
      <c r="I306" s="44">
        <f>I305 * (1 + APP_INVEST!$D$25) + APP_INVEST!$D$22</f>
        <v>794448.22935896448</v>
      </c>
      <c r="J306" s="44">
        <f>G306 * APP_INVEST!$D$22</f>
        <v>273600</v>
      </c>
      <c r="K306" s="44">
        <f>J306 / (1 + APP_INVEST!$D$24)^G306</f>
        <v>101298.92365377393</v>
      </c>
    </row>
    <row r="307" spans="7:11" x14ac:dyDescent="0.3">
      <c r="G307" s="45">
        <f t="shared" si="5"/>
        <v>305</v>
      </c>
      <c r="H307" s="44">
        <f>H306 * (1 + APP_INVEST!$D$23) + APP_INVEST!$D$22</f>
        <v>1573863.077683985</v>
      </c>
      <c r="I307" s="44">
        <f>I306 * (1 + APP_INVEST!$D$25) + APP_INVEST!$D$22</f>
        <v>800219.14104994445</v>
      </c>
      <c r="J307" s="44">
        <f>G307 * APP_INVEST!$D$22</f>
        <v>274500</v>
      </c>
      <c r="K307" s="44">
        <f>J307 / (1 + APP_INVEST!$D$24)^G307</f>
        <v>101300.51228036251</v>
      </c>
    </row>
    <row r="308" spans="7:11" x14ac:dyDescent="0.3">
      <c r="G308" s="45">
        <f t="shared" si="5"/>
        <v>306</v>
      </c>
      <c r="H308" s="44">
        <f>H307 * (1 + APP_INVEST!$D$23) + APP_INVEST!$D$22</f>
        <v>1589596.7371911565</v>
      </c>
      <c r="I308" s="44">
        <f>I307 * (1 + APP_INVEST!$D$25) + APP_INVEST!$D$22</f>
        <v>806025.43528718024</v>
      </c>
      <c r="J308" s="44">
        <f>G308 * APP_INVEST!$D$22</f>
        <v>275400</v>
      </c>
      <c r="K308" s="44">
        <f>J308 / (1 + APP_INVEST!$D$24)^G308</f>
        <v>101301.01195469814</v>
      </c>
    </row>
    <row r="309" spans="7:11" x14ac:dyDescent="0.3">
      <c r="G309" s="45">
        <f t="shared" si="5"/>
        <v>307</v>
      </c>
      <c r="H309" s="44">
        <f>H308 * (1 + APP_INVEST!$D$23) + APP_INVEST!$D$22</f>
        <v>1605478.6864391831</v>
      </c>
      <c r="I309" s="44">
        <f>I308 * (1 + APP_INVEST!$D$25) + APP_INVEST!$D$22</f>
        <v>811867.3290077257</v>
      </c>
      <c r="J309" s="44">
        <f>G309 * APP_INVEST!$D$22</f>
        <v>276300</v>
      </c>
      <c r="K309" s="44">
        <f>J309 / (1 + APP_INVEST!$D$24)^G309</f>
        <v>101300.42976649324</v>
      </c>
    </row>
    <row r="310" spans="7:11" x14ac:dyDescent="0.3">
      <c r="G310" s="45">
        <f t="shared" si="5"/>
        <v>308</v>
      </c>
      <c r="H310" s="44">
        <f>H309 * (1 + APP_INVEST!$D$23) + APP_INVEST!$D$22</f>
        <v>1621510.3230588725</v>
      </c>
      <c r="I310" s="44">
        <f>I309 * (1 + APP_INVEST!$D$25) + APP_INVEST!$D$22</f>
        <v>817745.04047871637</v>
      </c>
      <c r="J310" s="44">
        <f>G310 * APP_INVEST!$D$22</f>
        <v>277200</v>
      </c>
      <c r="K310" s="44">
        <f>J310 / (1 + APP_INVEST!$D$24)^G310</f>
        <v>101298.77277078653</v>
      </c>
    </row>
    <row r="311" spans="7:11" x14ac:dyDescent="0.3">
      <c r="G311" s="45">
        <f t="shared" si="5"/>
        <v>309</v>
      </c>
      <c r="H311" s="44">
        <f>H310 * (1 + APP_INVEST!$D$23) + APP_INVEST!$D$22</f>
        <v>1637693.0578537025</v>
      </c>
      <c r="I311" s="44">
        <f>I310 * (1 + APP_INVEST!$D$25) + APP_INVEST!$D$22</f>
        <v>823658.7893055249</v>
      </c>
      <c r="J311" s="44">
        <f>G311 * APP_INVEST!$D$22</f>
        <v>278100</v>
      </c>
      <c r="K311" s="44">
        <f>J311 / (1 + APP_INVEST!$D$24)^G311</f>
        <v>101296.04798809404</v>
      </c>
    </row>
    <row r="312" spans="7:11" x14ac:dyDescent="0.3">
      <c r="G312" s="45">
        <f t="shared" si="5"/>
        <v>310</v>
      </c>
      <c r="H312" s="44">
        <f>H311 * (1 + APP_INVEST!$D$23) + APP_INVEST!$D$22</f>
        <v>1654028.3149239735</v>
      </c>
      <c r="I312" s="44">
        <f>I311 * (1 + APP_INVEST!$D$25) + APP_INVEST!$D$22</f>
        <v>829608.79643996572</v>
      </c>
      <c r="J312" s="44">
        <f>G312 * APP_INVEST!$D$22</f>
        <v>279000</v>
      </c>
      <c r="K312" s="44">
        <f>J312 / (1 + APP_INVEST!$D$24)^G312</f>
        <v>101292.26240455909</v>
      </c>
    </row>
    <row r="313" spans="7:11" x14ac:dyDescent="0.3">
      <c r="G313" s="45">
        <f t="shared" si="5"/>
        <v>311</v>
      </c>
      <c r="H313" s="44">
        <f>H312 * (1 + APP_INVEST!$D$23) + APP_INVEST!$D$22</f>
        <v>1670517.531792132</v>
      </c>
      <c r="I313" s="44">
        <f>I312 * (1 + APP_INVEST!$D$25) + APP_INVEST!$D$22</f>
        <v>835595.28418855043</v>
      </c>
      <c r="J313" s="44">
        <f>G313 * APP_INVEST!$D$22</f>
        <v>279900</v>
      </c>
      <c r="K313" s="44">
        <f>J313 / (1 + APP_INVEST!$D$24)^G313</f>
        <v>101287.42297210202</v>
      </c>
    </row>
    <row r="314" spans="7:11" x14ac:dyDescent="0.3">
      <c r="G314" s="45">
        <f t="shared" si="5"/>
        <v>312</v>
      </c>
      <c r="H314" s="44">
        <f>H313 * (1 + APP_INVEST!$D$23) + APP_INVEST!$D$22</f>
        <v>1687162.1595292729</v>
      </c>
      <c r="I314" s="44">
        <f>I313 * (1 + APP_INVEST!$D$25) + APP_INVEST!$D$22</f>
        <v>841618.47622079379</v>
      </c>
      <c r="J314" s="44">
        <f>G314 * APP_INVEST!$D$22</f>
        <v>280800</v>
      </c>
      <c r="K314" s="44">
        <f>J314 / (1 + APP_INVEST!$D$24)^G314</f>
        <v>101281.53660856895</v>
      </c>
    </row>
    <row r="315" spans="7:11" x14ac:dyDescent="0.3">
      <c r="G315" s="45">
        <f t="shared" si="5"/>
        <v>313</v>
      </c>
      <c r="H315" s="44">
        <f>H314 * (1 + APP_INVEST!$D$23) + APP_INVEST!$D$22</f>
        <v>1703963.6628828363</v>
      </c>
      <c r="I315" s="44">
        <f>I314 * (1 + APP_INVEST!$D$25) + APP_INVEST!$D$22</f>
        <v>847678.59757757036</v>
      </c>
      <c r="J315" s="44">
        <f>G315 * APP_INVEST!$D$22</f>
        <v>281700</v>
      </c>
      <c r="K315" s="44">
        <f>J315 / (1 + APP_INVEST!$D$24)^G315</f>
        <v>101274.61019788032</v>
      </c>
    </row>
    <row r="316" spans="7:11" x14ac:dyDescent="0.3">
      <c r="G316" s="45">
        <f t="shared" si="5"/>
        <v>314</v>
      </c>
      <c r="H316" s="44">
        <f>H315 * (1 + APP_INVEST!$D$23) + APP_INVEST!$D$22</f>
        <v>1720923.5204055069</v>
      </c>
      <c r="I316" s="44">
        <f>I315 * (1 + APP_INVEST!$D$25) + APP_INVEST!$D$22</f>
        <v>853775.87467952282</v>
      </c>
      <c r="J316" s="44">
        <f>G316 * APP_INVEST!$D$22</f>
        <v>282600</v>
      </c>
      <c r="K316" s="44">
        <f>J316 / (1 + APP_INVEST!$D$24)^G316</f>
        <v>101266.65059017853</v>
      </c>
    </row>
    <row r="317" spans="7:11" x14ac:dyDescent="0.3">
      <c r="G317" s="45">
        <f t="shared" si="5"/>
        <v>315</v>
      </c>
      <c r="H317" s="44">
        <f>H316 * (1 + APP_INVEST!$D$23) + APP_INVEST!$D$22</f>
        <v>1738043.2245853289</v>
      </c>
      <c r="I317" s="44">
        <f>I316 * (1 + APP_INVEST!$D$25) + APP_INVEST!$D$22</f>
        <v>859910.53533552133</v>
      </c>
      <c r="J317" s="44">
        <f>G317 * APP_INVEST!$D$22</f>
        <v>283500</v>
      </c>
      <c r="K317" s="44">
        <f>J317 / (1 + APP_INVEST!$D$24)^G317</f>
        <v>101257.66460197508</v>
      </c>
    </row>
    <row r="318" spans="7:11" x14ac:dyDescent="0.3">
      <c r="G318" s="45">
        <f t="shared" si="5"/>
        <v>316</v>
      </c>
      <c r="H318" s="44">
        <f>H317 * (1 + APP_INVEST!$D$23) + APP_INVEST!$D$22</f>
        <v>1755324.2819770458</v>
      </c>
      <c r="I318" s="44">
        <f>I317 * (1 + APP_INVEST!$D$25) + APP_INVEST!$D$22</f>
        <v>866082.8087511753</v>
      </c>
      <c r="J318" s="44">
        <f>G318 * APP_INVEST!$D$22</f>
        <v>284400</v>
      </c>
      <c r="K318" s="44">
        <f>J318 / (1 + APP_INVEST!$D$24)^G318</f>
        <v>101247.6590162973</v>
      </c>
    </row>
    <row r="319" spans="7:11" x14ac:dyDescent="0.3">
      <c r="G319" s="45">
        <f t="shared" si="5"/>
        <v>317</v>
      </c>
      <c r="H319" s="44">
        <f>H318 * (1 + APP_INVEST!$D$23) + APP_INVEST!$D$22</f>
        <v>1772768.2133346796</v>
      </c>
      <c r="I319" s="44">
        <f>I318 * (1 + APP_INVEST!$D$25) + APP_INVEST!$D$22</f>
        <v>872292.92553739657</v>
      </c>
      <c r="J319" s="44">
        <f>G319 * APP_INVEST!$D$22</f>
        <v>285300</v>
      </c>
      <c r="K319" s="44">
        <f>J319 / (1 + APP_INVEST!$D$24)^G319</f>
        <v>101236.64058283386</v>
      </c>
    </row>
    <row r="320" spans="7:11" x14ac:dyDescent="0.3">
      <c r="G320" s="45">
        <f t="shared" si="5"/>
        <v>318</v>
      </c>
      <c r="H320" s="44">
        <f>H319 * (1 + APP_INVEST!$D$23) + APP_INVEST!$D$22</f>
        <v>1790376.5537453589</v>
      </c>
      <c r="I320" s="44">
        <f>I319 * (1 + APP_INVEST!$D$25) + APP_INVEST!$D$22</f>
        <v>878541.11771901615</v>
      </c>
      <c r="J320" s="44">
        <f>G320 * APP_INVEST!$D$22</f>
        <v>286200</v>
      </c>
      <c r="K320" s="44">
        <f>J320 / (1 + APP_INVEST!$D$24)^G320</f>
        <v>101224.61601808066</v>
      </c>
    </row>
    <row r="321" spans="7:11" x14ac:dyDescent="0.3">
      <c r="G321" s="45">
        <f t="shared" si="5"/>
        <v>319</v>
      </c>
      <c r="H321" s="44">
        <f>H320 * (1 + APP_INVEST!$D$23) + APP_INVEST!$D$22</f>
        <v>1808150.852764409</v>
      </c>
      <c r="I321" s="44">
        <f>I320 * (1 + APP_INVEST!$D$25) + APP_INVEST!$D$22</f>
        <v>884827.61874345306</v>
      </c>
      <c r="J321" s="44">
        <f>G321 * APP_INVEST!$D$22</f>
        <v>287100</v>
      </c>
      <c r="K321" s="44">
        <f>J321 / (1 + APP_INVEST!$D$24)^G321</f>
        <v>101211.5920054852</v>
      </c>
    </row>
    <row r="322" spans="7:11" x14ac:dyDescent="0.3">
      <c r="G322" s="45">
        <f t="shared" si="5"/>
        <v>320</v>
      </c>
      <c r="H322" s="44">
        <f>H321 * (1 + APP_INVEST!$D$23) + APP_INVEST!$D$22</f>
        <v>1826092.6745517135</v>
      </c>
      <c r="I322" s="44">
        <f>I321 * (1 + APP_INVEST!$D$25) + APP_INVEST!$D$22</f>
        <v>891152.66348943615</v>
      </c>
      <c r="J322" s="44">
        <f>G322 * APP_INVEST!$D$22</f>
        <v>288000</v>
      </c>
      <c r="K322" s="44">
        <f>J322 / (1 + APP_INVEST!$D$24)^G322</f>
        <v>101197.57519559088</v>
      </c>
    </row>
    <row r="323" spans="7:11" x14ac:dyDescent="0.3">
      <c r="G323" s="45">
        <f t="shared" si="5"/>
        <v>321</v>
      </c>
      <c r="H323" s="44">
        <f>H322 * (1 + APP_INVEST!$D$23) + APP_INVEST!$D$22</f>
        <v>1844203.5980093635</v>
      </c>
      <c r="I323" s="44">
        <f>I322 * (1 + APP_INVEST!$D$25) + APP_INVEST!$D$22</f>
        <v>897516.48827578011</v>
      </c>
      <c r="J323" s="44">
        <f>G323 * APP_INVEST!$D$22</f>
        <v>288900</v>
      </c>
      <c r="K323" s="44">
        <f>J323 / (1 + APP_INVEST!$D$24)^G323</f>
        <v>101182.57220618051</v>
      </c>
    </row>
    <row r="324" spans="7:11" x14ac:dyDescent="0.3">
      <c r="G324" s="45">
        <f t="shared" ref="G324:G362" si="6">G323+1</f>
        <v>322</v>
      </c>
      <c r="H324" s="44">
        <f>H323 * (1 + APP_INVEST!$D$23) + APP_INVEST!$D$22</f>
        <v>1862485.2169206019</v>
      </c>
      <c r="I324" s="44">
        <f>I323 * (1 + APP_INVEST!$D$25) + APP_INVEST!$D$22</f>
        <v>903919.33087021485</v>
      </c>
      <c r="J324" s="44">
        <f>G324 * APP_INVEST!$D$22</f>
        <v>289800</v>
      </c>
      <c r="K324" s="44">
        <f>J324 / (1 + APP_INVEST!$D$24)^G324</f>
        <v>101166.58962241941</v>
      </c>
    </row>
    <row r="325" spans="7:11" x14ac:dyDescent="0.3">
      <c r="G325" s="45">
        <f t="shared" si="6"/>
        <v>323</v>
      </c>
      <c r="H325" s="44">
        <f>H324 * (1 + APP_INVEST!$D$23) + APP_INVEST!$D$22</f>
        <v>1880939.1400900786</v>
      </c>
      <c r="I325" s="44">
        <f>I324 * (1 + APP_INVEST!$D$25) + APP_INVEST!$D$22</f>
        <v>910361.4304982688</v>
      </c>
      <c r="J325" s="44">
        <f>G325 * APP_INVEST!$D$22</f>
        <v>290700</v>
      </c>
      <c r="K325" s="44">
        <f>J325 / (1 + APP_INVEST!$D$24)^G325</f>
        <v>101149.63399699771</v>
      </c>
    </row>
    <row r="326" spans="7:11" x14ac:dyDescent="0.3">
      <c r="G326" s="45">
        <f t="shared" si="6"/>
        <v>324</v>
      </c>
      <c r="H326" s="44">
        <f>H325 * (1 + APP_INVEST!$D$23) + APP_INVEST!$D$22</f>
        <v>1899566.9914854276</v>
      </c>
      <c r="I326" s="44">
        <f>I325 * (1 + APP_INVEST!$D$25) + APP_INVEST!$D$22</f>
        <v>916843.02785220742</v>
      </c>
      <c r="J326" s="44">
        <f>G326 * APP_INVEST!$D$22</f>
        <v>291600</v>
      </c>
      <c r="K326" s="44">
        <f>J326 / (1 + APP_INVEST!$D$24)^G326</f>
        <v>101131.71185027222</v>
      </c>
    </row>
    <row r="327" spans="7:11" x14ac:dyDescent="0.3">
      <c r="G327" s="45">
        <f t="shared" si="6"/>
        <v>325</v>
      </c>
      <c r="H327" s="44">
        <f>H326 * (1 + APP_INVEST!$D$23) + APP_INVEST!$D$22</f>
        <v>1918370.4103801779</v>
      </c>
      <c r="I327" s="44">
        <f>I326 * (1 + APP_INVEST!$D$25) + APP_INVEST!$D$22</f>
        <v>923364.36510002555</v>
      </c>
      <c r="J327" s="44">
        <f>G327 * APP_INVEST!$D$22</f>
        <v>292500</v>
      </c>
      <c r="K327" s="44">
        <f>J327 / (1 + APP_INVEST!$D$24)^G327</f>
        <v>101112.82967040762</v>
      </c>
    </row>
    <row r="328" spans="7:11" x14ac:dyDescent="0.3">
      <c r="G328" s="45">
        <f t="shared" si="6"/>
        <v>326</v>
      </c>
      <c r="H328" s="44">
        <f>H327 * (1 + APP_INVEST!$D$23) + APP_INVEST!$D$22</f>
        <v>1937351.0514980112</v>
      </c>
      <c r="I328" s="44">
        <f>I327 * (1 + APP_INVEST!$D$25) + APP_INVEST!$D$22</f>
        <v>929925.68589449581</v>
      </c>
      <c r="J328" s="44">
        <f>G328 * APP_INVEST!$D$22</f>
        <v>293400</v>
      </c>
      <c r="K328" s="44">
        <f>J328 / (1 + APP_INVEST!$D$24)^G328</f>
        <v>101092.99391351722</v>
      </c>
    </row>
    <row r="329" spans="7:11" x14ac:dyDescent="0.3">
      <c r="G329" s="45">
        <f t="shared" si="6"/>
        <v>327</v>
      </c>
      <c r="H329" s="44">
        <f>H328 * (1 + APP_INVEST!$D$23) + APP_INVEST!$D$22</f>
        <v>1956510.58515838</v>
      </c>
      <c r="I329" s="44">
        <f>I328 * (1 + APP_INVEST!$D$25) + APP_INVEST!$D$22</f>
        <v>936527.23538227158</v>
      </c>
      <c r="J329" s="44">
        <f>G329 * APP_INVEST!$D$22</f>
        <v>294300</v>
      </c>
      <c r="K329" s="44">
        <f>J329 / (1 + APP_INVEST!$D$24)^G329</f>
        <v>101072.21100380292</v>
      </c>
    </row>
    <row r="330" spans="7:11" x14ac:dyDescent="0.3">
      <c r="G330" s="45">
        <f t="shared" si="6"/>
        <v>328</v>
      </c>
      <c r="H330" s="44">
        <f>H329 * (1 + APP_INVEST!$D$23) + APP_INVEST!$D$22</f>
        <v>1975850.6974234977</v>
      </c>
      <c r="I330" s="44">
        <f>I329 * (1 + APP_INVEST!$D$25) + APP_INVEST!$D$22</f>
        <v>943169.2602130468</v>
      </c>
      <c r="J330" s="44">
        <f>G330 * APP_INVEST!$D$22</f>
        <v>295200</v>
      </c>
      <c r="K330" s="44">
        <f>J330 / (1 + APP_INVEST!$D$24)^G330</f>
        <v>101050.48733369489</v>
      </c>
    </row>
    <row r="331" spans="7:11" x14ac:dyDescent="0.3">
      <c r="G331" s="45">
        <f t="shared" si="6"/>
        <v>329</v>
      </c>
      <c r="H331" s="44">
        <f>H330 * (1 + APP_INVEST!$D$23) + APP_INVEST!$D$22</f>
        <v>1995373.0902467142</v>
      </c>
      <c r="I331" s="44">
        <f>I330 * (1 + APP_INVEST!$D$25) + APP_INVEST!$D$22</f>
        <v>949852.00854877103</v>
      </c>
      <c r="J331" s="44">
        <f>G331 * APP_INVEST!$D$22</f>
        <v>296100</v>
      </c>
      <c r="K331" s="44">
        <f>J331 / (1 + APP_INVEST!$D$24)^G331</f>
        <v>101027.82926399031</v>
      </c>
    </row>
    <row r="332" spans="7:11" x14ac:dyDescent="0.3">
      <c r="G332" s="45">
        <f t="shared" si="6"/>
        <v>330</v>
      </c>
      <c r="H332" s="44">
        <f>H331 * (1 + APP_INVEST!$D$23) + APP_INVEST!$D$22</f>
        <v>2015079.4816222894</v>
      </c>
      <c r="I332" s="44">
        <f>I331 * (1 + APP_INVEST!$D$25) + APP_INVEST!$D$22</f>
        <v>956575.73007292137</v>
      </c>
      <c r="J332" s="44">
        <f>G332 * APP_INVEST!$D$22</f>
        <v>297000</v>
      </c>
      <c r="K332" s="44">
        <f>J332 / (1 + APP_INVEST!$D$24)^G332</f>
        <v>101004.24312399192</v>
      </c>
    </row>
    <row r="333" spans="7:11" x14ac:dyDescent="0.3">
      <c r="G333" s="45">
        <f t="shared" si="6"/>
        <v>331</v>
      </c>
      <c r="H333" s="44">
        <f>H332 * (1 + APP_INVEST!$D$23) + APP_INVEST!$D$22</f>
        <v>2034971.6057365795</v>
      </c>
      <c r="I333" s="44">
        <f>I332 * (1 + APP_INVEST!$D$25) + APP_INVEST!$D$22</f>
        <v>963340.67599983152</v>
      </c>
      <c r="J333" s="44">
        <f>G333 * APP_INVEST!$D$22</f>
        <v>297900</v>
      </c>
      <c r="K333" s="44">
        <f>J333 / (1 + APP_INVEST!$D$24)^G333</f>
        <v>100979.73521164572</v>
      </c>
    </row>
    <row r="334" spans="7:11" x14ac:dyDescent="0.3">
      <c r="G334" s="45">
        <f t="shared" si="6"/>
        <v>332</v>
      </c>
      <c r="H334" s="44">
        <f>H333 * (1 + APP_INVEST!$D$23) + APP_INVEST!$D$22</f>
        <v>2055051.2131206468</v>
      </c>
      <c r="I334" s="44">
        <f>I333 * (1 + APP_INVEST!$D$25) + APP_INVEST!$D$22</f>
        <v>970147.0990840774</v>
      </c>
      <c r="J334" s="44">
        <f>G334 * APP_INVEST!$D$22</f>
        <v>298800</v>
      </c>
      <c r="K334" s="44">
        <f>J334 / (1 + APP_INVEST!$D$24)^G334</f>
        <v>100954.31179367835</v>
      </c>
    </row>
    <row r="335" spans="7:11" x14ac:dyDescent="0.3">
      <c r="G335" s="45">
        <f t="shared" si="6"/>
        <v>333</v>
      </c>
      <c r="H335" s="44">
        <f>H334 * (1 + APP_INVEST!$D$23) + APP_INVEST!$D$22</f>
        <v>2075320.0708043089</v>
      </c>
      <c r="I335" s="44">
        <f>I334 * (1 + APP_INVEST!$D$25) + APP_INVEST!$D$22</f>
        <v>976995.253629921</v>
      </c>
      <c r="J335" s="44">
        <f>G335 * APP_INVEST!$D$22</f>
        <v>299700</v>
      </c>
      <c r="K335" s="44">
        <f>J335 / (1 + APP_INVEST!$D$24)^G335</f>
        <v>100927.97910573357</v>
      </c>
    </row>
    <row r="336" spans="7:11" x14ac:dyDescent="0.3">
      <c r="G336" s="45">
        <f t="shared" si="6"/>
        <v>334</v>
      </c>
      <c r="H336" s="44">
        <f>H335 * (1 + APP_INVEST!$D$23) + APP_INVEST!$D$22</f>
        <v>2095779.9624716395</v>
      </c>
      <c r="I336" s="44">
        <f>I335 * (1 + APP_INVEST!$D$25) + APP_INVEST!$D$22</f>
        <v>983885.3955008114</v>
      </c>
      <c r="J336" s="44">
        <f>G336 * APP_INVEST!$D$22</f>
        <v>300600</v>
      </c>
      <c r="K336" s="44">
        <f>J336 / (1 + APP_INVEST!$D$24)^G336</f>
        <v>100900.74335250855</v>
      </c>
    </row>
    <row r="337" spans="7:11" x14ac:dyDescent="0.3">
      <c r="G337" s="45">
        <f t="shared" si="6"/>
        <v>335</v>
      </c>
      <c r="H337" s="44">
        <f>H336 * (1 + APP_INVEST!$D$23) + APP_INVEST!$D$22</f>
        <v>2116432.6886179349</v>
      </c>
      <c r="I337" s="44">
        <f>I336 * (1 + APP_INVEST!$D$25) + APP_INVEST!$D$22</f>
        <v>990817.78212894488</v>
      </c>
      <c r="J337" s="44">
        <f>G337 * APP_INVEST!$D$22</f>
        <v>301500</v>
      </c>
      <c r="K337" s="44">
        <f>J337 / (1 + APP_INVEST!$D$24)^G337</f>
        <v>100872.61070788943</v>
      </c>
    </row>
    <row r="338" spans="7:11" x14ac:dyDescent="0.3">
      <c r="G338" s="45">
        <f t="shared" si="6"/>
        <v>336</v>
      </c>
      <c r="H338" s="44">
        <f>H337 * (1 + APP_INVEST!$D$23) + APP_INVEST!$D$22</f>
        <v>2137280.0667081592</v>
      </c>
      <c r="I338" s="44">
        <f>I337 * (1 + APP_INVEST!$D$25) + APP_INVEST!$D$22</f>
        <v>997792.67252488283</v>
      </c>
      <c r="J338" s="44">
        <f>G338 * APP_INVEST!$D$22</f>
        <v>302400</v>
      </c>
      <c r="K338" s="44">
        <f>J338 / (1 + APP_INVEST!$D$24)^G338</f>
        <v>100843.58731508619</v>
      </c>
    </row>
    <row r="339" spans="7:11" x14ac:dyDescent="0.3">
      <c r="G339" s="45">
        <f t="shared" si="6"/>
        <v>337</v>
      </c>
      <c r="H339" s="44">
        <f>H338 * (1 + APP_INVEST!$D$23) + APP_INVEST!$D$22</f>
        <v>2158323.9313368835</v>
      </c>
      <c r="I339" s="44">
        <f>I338 * (1 + APP_INVEST!$D$25) + APP_INVEST!$D$22</f>
        <v>1004810.3272872292</v>
      </c>
      <c r="J339" s="44">
        <f>G339 * APP_INVEST!$D$22</f>
        <v>303300</v>
      </c>
      <c r="K339" s="44">
        <f>J339 / (1 + APP_INVEST!$D$24)^G339</f>
        <v>100813.67928676729</v>
      </c>
    </row>
    <row r="340" spans="7:11" x14ac:dyDescent="0.3">
      <c r="G340" s="45">
        <f t="shared" si="6"/>
        <v>338</v>
      </c>
      <c r="H340" s="44">
        <f>H339 * (1 + APP_INVEST!$D$23) + APP_INVEST!$D$22</f>
        <v>2179566.1343897334</v>
      </c>
      <c r="I340" s="44">
        <f>I339 * (1 + APP_INVEST!$D$25) + APP_INVEST!$D$22</f>
        <v>1011871.0086123672</v>
      </c>
      <c r="J340" s="44">
        <f>G340 * APP_INVEST!$D$22</f>
        <v>304200</v>
      </c>
      <c r="K340" s="44">
        <f>J340 / (1 + APP_INVEST!$D$24)^G340</f>
        <v>100782.89270519349</v>
      </c>
    </row>
    <row r="341" spans="7:11" x14ac:dyDescent="0.3">
      <c r="G341" s="45">
        <f t="shared" si="6"/>
        <v>339</v>
      </c>
      <c r="H341" s="44">
        <f>H340 * (1 + APP_INVEST!$D$23) + APP_INVEST!$D$22</f>
        <v>2201008.5452063568</v>
      </c>
      <c r="I341" s="44">
        <f>I340 * (1 + APP_INVEST!$D$25) + APP_INVEST!$D$22</f>
        <v>1018974.9803042553</v>
      </c>
      <c r="J341" s="44">
        <f>G341 * APP_INVEST!$D$22</f>
        <v>305100</v>
      </c>
      <c r="K341" s="44">
        <f>J341 / (1 + APP_INVEST!$D$24)^G341</f>
        <v>100751.23362235114</v>
      </c>
    </row>
    <row r="342" spans="7:11" x14ac:dyDescent="0.3">
      <c r="G342" s="45">
        <f t="shared" si="6"/>
        <v>340</v>
      </c>
      <c r="H342" s="44">
        <f>H341 * (1 + APP_INVEST!$D$23) + APP_INVEST!$D$22</f>
        <v>2222653.0507449266</v>
      </c>
      <c r="I342" s="44">
        <f>I341 * (1 + APP_INVEST!$D$25) + APP_INVEST!$D$22</f>
        <v>1026122.5077842836</v>
      </c>
      <c r="J342" s="44">
        <f>G342 * APP_INVEST!$D$22</f>
        <v>306000</v>
      </c>
      <c r="K342" s="44">
        <f>J342 / (1 + APP_INVEST!$D$24)^G342</f>
        <v>100718.70806008513</v>
      </c>
    </row>
    <row r="343" spans="7:11" x14ac:dyDescent="0.3">
      <c r="G343" s="45">
        <f t="shared" si="6"/>
        <v>341</v>
      </c>
      <c r="H343" s="44">
        <f>H342 * (1 + APP_INVEST!$D$23) + APP_INVEST!$D$22</f>
        <v>2244501.5557481977</v>
      </c>
      <c r="I343" s="44">
        <f>I342 * (1 + APP_INVEST!$D$25) + APP_INVEST!$D$22</f>
        <v>1033313.8581011911</v>
      </c>
      <c r="J343" s="44">
        <f>G343 * APP_INVEST!$D$22</f>
        <v>306900</v>
      </c>
      <c r="K343" s="44">
        <f>J343 / (1 + APP_INVEST!$D$24)^G343</f>
        <v>100685.32201023112</v>
      </c>
    </row>
    <row r="344" spans="7:11" x14ac:dyDescent="0.3">
      <c r="G344" s="45">
        <f t="shared" si="6"/>
        <v>342</v>
      </c>
      <c r="H344" s="44">
        <f>H343 * (1 + APP_INVEST!$D$23) + APP_INVEST!$D$22</f>
        <v>2266555.9829111244</v>
      </c>
      <c r="I344" s="44">
        <f>I343 * (1 + APP_INVEST!$D$25) + APP_INVEST!$D$22</f>
        <v>1040549.2999410426</v>
      </c>
      <c r="J344" s="44">
        <f>G344 * APP_INVEST!$D$22</f>
        <v>307800</v>
      </c>
      <c r="K344" s="44">
        <f>J344 / (1 + APP_INVEST!$D$24)^G344</f>
        <v>100651.08143474713</v>
      </c>
    </row>
    <row r="345" spans="7:11" x14ac:dyDescent="0.3">
      <c r="G345" s="45">
        <f t="shared" si="6"/>
        <v>343</v>
      </c>
      <c r="H345" s="44">
        <f>H344 * (1 + APP_INVEST!$D$23) + APP_INVEST!$D$22</f>
        <v>2288818.2730500619</v>
      </c>
      <c r="I345" s="44">
        <f>I344 * (1 + APP_INVEST!$D$25) + APP_INVEST!$D$22</f>
        <v>1047829.1036372676</v>
      </c>
      <c r="J345" s="44">
        <f>G345 * APP_INVEST!$D$22</f>
        <v>308700</v>
      </c>
      <c r="K345" s="44">
        <f>J345 / (1 + APP_INVEST!$D$24)^G345</f>
        <v>100615.99226584494</v>
      </c>
    </row>
    <row r="346" spans="7:11" x14ac:dyDescent="0.3">
      <c r="G346" s="45">
        <f t="shared" si="6"/>
        <v>344</v>
      </c>
      <c r="H346" s="44">
        <f>H345 * (1 + APP_INVEST!$D$23) + APP_INVEST!$D$22</f>
        <v>2311290.3852735586</v>
      </c>
      <c r="I346" s="44">
        <f>I345 * (1 + APP_INVEST!$D$25) + APP_INVEST!$D$22</f>
        <v>1055153.5411807613</v>
      </c>
      <c r="J346" s="44">
        <f>G346 * APP_INVEST!$D$22</f>
        <v>309600</v>
      </c>
      <c r="K346" s="44">
        <f>J346 / (1 + APP_INVEST!$D$24)^G346</f>
        <v>100580.06040612064</v>
      </c>
    </row>
    <row r="347" spans="7:11" x14ac:dyDescent="0.3">
      <c r="G347" s="45">
        <f t="shared" si="6"/>
        <v>345</v>
      </c>
      <c r="H347" s="44">
        <f>H346 * (1 + APP_INVEST!$D$23) + APP_INVEST!$D$22</f>
        <v>2333974.2971547619</v>
      </c>
      <c r="I347" s="44">
        <f>I346 * (1 + APP_INVEST!$D$25) + APP_INVEST!$D$22</f>
        <v>1062522.8862300457</v>
      </c>
      <c r="J347" s="44">
        <f>G347 * APP_INVEST!$D$22</f>
        <v>310500</v>
      </c>
      <c r="K347" s="44">
        <f>J347 / (1 + APP_INVEST!$D$24)^G347</f>
        <v>100543.29172868462</v>
      </c>
    </row>
    <row r="348" spans="7:11" x14ac:dyDescent="0.3">
      <c r="G348" s="45">
        <f t="shared" si="6"/>
        <v>346</v>
      </c>
      <c r="H348" s="44">
        <f>H347 * (1 + APP_INVEST!$D$23) + APP_INVEST!$D$22</f>
        <v>2356872.0049054455</v>
      </c>
      <c r="I348" s="44">
        <f>I347 * (1 + APP_INVEST!$D$25) + APP_INVEST!$D$22</f>
        <v>1069937.4141214951</v>
      </c>
      <c r="J348" s="44">
        <f>G348 * APP_INVEST!$D$22</f>
        <v>311400</v>
      </c>
      <c r="K348" s="44">
        <f>J348 / (1 + APP_INVEST!$D$24)^G348</f>
        <v>100505.69207729142</v>
      </c>
    </row>
    <row r="349" spans="7:11" x14ac:dyDescent="0.3">
      <c r="G349" s="45">
        <f t="shared" si="6"/>
        <v>347</v>
      </c>
      <c r="H349" s="44">
        <f>H348 * (1 + APP_INVEST!$D$23) + APP_INVEST!$D$22</f>
        <v>2379985.5235516792</v>
      </c>
      <c r="I349" s="44">
        <f>I348 * (1 + APP_INVEST!$D$25) + APP_INVEST!$D$22</f>
        <v>1077397.4018796231</v>
      </c>
      <c r="J349" s="44">
        <f>G349 * APP_INVEST!$D$22</f>
        <v>312300</v>
      </c>
      <c r="K349" s="44">
        <f>J349 / (1 + APP_INVEST!$D$24)^G349</f>
        <v>100467.26726646845</v>
      </c>
    </row>
    <row r="350" spans="7:11" x14ac:dyDescent="0.3">
      <c r="G350" s="45">
        <f t="shared" si="6"/>
        <v>348</v>
      </c>
      <c r="H350" s="44">
        <f>H349 * (1 + APP_INVEST!$D$23) + APP_INVEST!$D$22</f>
        <v>2403316.8871111539</v>
      </c>
      <c r="I350" s="44">
        <f>I349 * (1 + APP_INVEST!$D$25) + APP_INVEST!$D$22</f>
        <v>1084903.1282274323</v>
      </c>
      <c r="J350" s="44">
        <f>G350 * APP_INVEST!$D$22</f>
        <v>313200</v>
      </c>
      <c r="K350" s="44">
        <f>J350 / (1 + APP_INVEST!$D$24)^G350</f>
        <v>100428.02308164486</v>
      </c>
    </row>
    <row r="351" spans="7:11" x14ac:dyDescent="0.3">
      <c r="G351" s="45">
        <f t="shared" si="6"/>
        <v>349</v>
      </c>
      <c r="H351" s="44">
        <f>H350 * (1 + APP_INVEST!$D$23) + APP_INVEST!$D$22</f>
        <v>2426868.1487721764</v>
      </c>
      <c r="I351" s="44">
        <f>I350 * (1 + APP_INVEST!$D$25) + APP_INVEST!$D$22</f>
        <v>1092454.8735968287</v>
      </c>
      <c r="J351" s="44">
        <f>G351 * APP_INVEST!$D$22</f>
        <v>314100</v>
      </c>
      <c r="K351" s="44">
        <f>J351 / (1 + APP_INVEST!$D$24)^G351</f>
        <v>100387.96527927919</v>
      </c>
    </row>
    <row r="352" spans="7:11" x14ac:dyDescent="0.3">
      <c r="G352" s="45">
        <f t="shared" si="6"/>
        <v>350</v>
      </c>
      <c r="H352" s="44">
        <f>H351 * (1 + APP_INVEST!$D$23) + APP_INVEST!$D$22</f>
        <v>2450641.3810743541</v>
      </c>
      <c r="I352" s="44">
        <f>I351 * (1 + APP_INVEST!$D$25) + APP_INVEST!$D$22</f>
        <v>1100052.9201390992</v>
      </c>
      <c r="J352" s="44">
        <f>G352 * APP_INVEST!$D$22</f>
        <v>315000</v>
      </c>
      <c r="K352" s="44">
        <f>J352 / (1 + APP_INVEST!$D$24)^G352</f>
        <v>100347.09958698708</v>
      </c>
    </row>
    <row r="353" spans="7:11" x14ac:dyDescent="0.3">
      <c r="G353" s="45">
        <f t="shared" si="6"/>
        <v>351</v>
      </c>
      <c r="H353" s="44">
        <f>H352 * (1 + APP_INVEST!$D$23) + APP_INVEST!$D$22</f>
        <v>2474638.6760909799</v>
      </c>
      <c r="I353" s="44">
        <f>I352 * (1 + APP_INVEST!$D$25) + APP_INVEST!$D$22</f>
        <v>1107697.5517354535</v>
      </c>
      <c r="J353" s="44">
        <f>G353 * APP_INVEST!$D$22</f>
        <v>315900</v>
      </c>
      <c r="K353" s="44">
        <f>J353 / (1 + APP_INVEST!$D$24)^G353</f>
        <v>100305.4317036681</v>
      </c>
    </row>
    <row r="354" spans="7:11" x14ac:dyDescent="0.3">
      <c r="G354" s="45">
        <f t="shared" si="6"/>
        <v>352</v>
      </c>
      <c r="H354" s="44">
        <f>H353 * (1 + APP_INVEST!$D$23) + APP_INVEST!$D$22</f>
        <v>2498862.1456131376</v>
      </c>
      <c r="I354" s="44">
        <f>I353 * (1 + APP_INVEST!$D$25) + APP_INVEST!$D$22</f>
        <v>1115389.0540076301</v>
      </c>
      <c r="J354" s="44">
        <f>G354 * APP_INVEST!$D$22</f>
        <v>316800</v>
      </c>
      <c r="K354" s="44">
        <f>J354 / (1 + APP_INVEST!$D$24)^G354</f>
        <v>100262.9672996322</v>
      </c>
    </row>
    <row r="355" spans="7:11" x14ac:dyDescent="0.3">
      <c r="G355" s="45">
        <f t="shared" si="6"/>
        <v>353</v>
      </c>
      <c r="H355" s="44">
        <f>H354 * (1 + APP_INVEST!$D$23) + APP_INVEST!$D$22</f>
        <v>2523313.9213355416</v>
      </c>
      <c r="I355" s="44">
        <f>I354 * (1 + APP_INVEST!$D$25) + APP_INVEST!$D$22</f>
        <v>1123127.7143285684</v>
      </c>
      <c r="J355" s="44">
        <f>G355 * APP_INVEST!$D$22</f>
        <v>317700</v>
      </c>
      <c r="K355" s="44">
        <f>J355 / (1 + APP_INVEST!$D$24)^G355</f>
        <v>100219.71201672559</v>
      </c>
    </row>
    <row r="356" spans="7:11" x14ac:dyDescent="0.3">
      <c r="G356" s="45">
        <f t="shared" si="6"/>
        <v>354</v>
      </c>
      <c r="H356" s="44">
        <f>H355 * (1 + APP_INVEST!$D$23) + APP_INVEST!$D$22</f>
        <v>2547996.1550441291</v>
      </c>
      <c r="I356" s="44">
        <f>I355 * (1 + APP_INVEST!$D$25) + APP_INVEST!$D$22</f>
        <v>1130913.8218331453</v>
      </c>
      <c r="J356" s="44">
        <f>G356 * APP_INVEST!$D$22</f>
        <v>318600</v>
      </c>
      <c r="K356" s="44">
        <f>J356 / (1 + APP_INVEST!$D$24)^G356</f>
        <v>100175.6714684561</v>
      </c>
    </row>
    <row r="357" spans="7:11" x14ac:dyDescent="0.3">
      <c r="G357" s="45">
        <f t="shared" si="6"/>
        <v>355</v>
      </c>
      <c r="H357" s="44">
        <f>H356 * (1 + APP_INVEST!$D$23) + APP_INVEST!$D$22</f>
        <v>2572911.01880542</v>
      </c>
      <c r="I357" s="44">
        <f>I356 * (1 + APP_INVEST!$D$25) + APP_INVEST!$D$22</f>
        <v>1138747.6674289783</v>
      </c>
      <c r="J357" s="44">
        <f>G357 * APP_INVEST!$D$22</f>
        <v>319500</v>
      </c>
      <c r="K357" s="44">
        <f>J357 / (1 + APP_INVEST!$D$24)^G357</f>
        <v>100130.85124011812</v>
      </c>
    </row>
    <row r="358" spans="7:11" x14ac:dyDescent="0.3">
      <c r="G358" s="45">
        <f t="shared" si="6"/>
        <v>356</v>
      </c>
      <c r="H358" s="44">
        <f>H357 * (1 + APP_INVEST!$D$23) + APP_INVEST!$D$22</f>
        <v>2598060.7051576613</v>
      </c>
      <c r="I358" s="44">
        <f>I357 * (1 + APP_INVEST!$D$25) + APP_INVEST!$D$22</f>
        <v>1146629.5438072938</v>
      </c>
      <c r="J358" s="44">
        <f>G358 * APP_INVEST!$D$22</f>
        <v>320400</v>
      </c>
      <c r="K358" s="44">
        <f>J358 / (1 + APP_INVEST!$D$24)^G358</f>
        <v>100085.25688891695</v>
      </c>
    </row>
    <row r="359" spans="7:11" x14ac:dyDescent="0.3">
      <c r="G359" s="45">
        <f t="shared" si="6"/>
        <v>357</v>
      </c>
      <c r="H359" s="44">
        <f>H358 * (1 + APP_INVEST!$D$23) + APP_INVEST!$D$22</f>
        <v>2623447.4273037724</v>
      </c>
      <c r="I359" s="44">
        <f>I358 * (1 + APP_INVEST!$D$25) + APP_INVEST!$D$22</f>
        <v>1154559.7454538636</v>
      </c>
      <c r="J359" s="44">
        <f>G359 * APP_INVEST!$D$22</f>
        <v>321300</v>
      </c>
      <c r="K359" s="44">
        <f>J359 / (1 + APP_INVEST!$D$24)^G359</f>
        <v>100038.89394409252</v>
      </c>
    </row>
    <row r="360" spans="7:11" x14ac:dyDescent="0.3">
      <c r="G360" s="45">
        <f t="shared" si="6"/>
        <v>358</v>
      </c>
      <c r="H360" s="44">
        <f>H359 * (1 + APP_INVEST!$D$23) + APP_INVEST!$D$22</f>
        <v>2649073.4193061106</v>
      </c>
      <c r="I360" s="44">
        <f>I359 * (1 + APP_INVEST!$D$25) + APP_INVEST!$D$22</f>
        <v>1162538.5686600073</v>
      </c>
      <c r="J360" s="44">
        <f>G360 * APP_INVEST!$D$22</f>
        <v>322200</v>
      </c>
      <c r="K360" s="44">
        <f>J360 / (1 + APP_INVEST!$D$24)^G360</f>
        <v>99991.767907042842</v>
      </c>
    </row>
    <row r="361" spans="7:11" x14ac:dyDescent="0.3">
      <c r="G361" s="45">
        <f t="shared" si="6"/>
        <v>359</v>
      </c>
      <c r="H361" s="44">
        <f>H360 * (1 + APP_INVEST!$D$23) + APP_INVEST!$D$22</f>
        <v>2674940.9362830706</v>
      </c>
      <c r="I361" s="44">
        <f>I360 * (1 + APP_INVEST!$D$25) + APP_INVEST!$D$22</f>
        <v>1170566.3115336623</v>
      </c>
      <c r="J361" s="44">
        <f>G361 * APP_INVEST!$D$22</f>
        <v>323100</v>
      </c>
      <c r="K361" s="44">
        <f>J361 / (1 + APP_INVEST!$D$24)^G361</f>
        <v>99943.884251446885</v>
      </c>
    </row>
    <row r="362" spans="7:11" x14ac:dyDescent="0.3">
      <c r="G362" s="45">
        <f t="shared" si="6"/>
        <v>360</v>
      </c>
      <c r="H362" s="44">
        <f>H361 * (1 + APP_INVEST!$D$23) + APP_INVEST!$D$22</f>
        <v>2701052.2546075387</v>
      </c>
      <c r="I362" s="44">
        <f>I361 * (1 + APP_INVEST!$D$25) + APP_INVEST!$D$22</f>
        <v>1178643.2740105216</v>
      </c>
      <c r="J362" s="44">
        <f>G362 * APP_INVEST!$D$22</f>
        <v>324000</v>
      </c>
      <c r="K362" s="44">
        <f>J362 / (1 + APP_INVEST!$D$24)^G362</f>
        <v>99895.248423386729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110DE-3D77-470C-9CED-65521C30E3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4D0D6DD-E6DB-45C8-8F90-E314C090C085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62BBC473-00BC-48E4-BFA3-FE8E2B1F0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4</vt:i4>
      </vt:variant>
    </vt:vector>
  </HeadingPairs>
  <TitlesOfParts>
    <vt:vector size="6" baseType="lpstr">
      <vt:lpstr>APP_INVEST</vt:lpstr>
      <vt:lpstr>AUXILIAR</vt:lpstr>
      <vt:lpstr>inflação_mensal</vt:lpstr>
      <vt:lpstr>Salario</vt:lpstr>
      <vt:lpstr>taxa_nominal</vt:lpstr>
      <vt:lpstr>taxa_real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Wanderson Forte</cp:lastModifiedBy>
  <dcterms:created xsi:type="dcterms:W3CDTF">2025-04-16T18:38:03Z</dcterms:created>
  <dcterms:modified xsi:type="dcterms:W3CDTF">2026-01-04T14:32:46Z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